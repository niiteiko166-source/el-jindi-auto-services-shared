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hp\Desktop\WORK FILE\"/>
    </mc:Choice>
  </mc:AlternateContent>
  <xr:revisionPtr revIDLastSave="0" documentId="13_ncr:1_{3B327A60-E299-44DD-8E8D-B154BC128DE0}" xr6:coauthVersionLast="47" xr6:coauthVersionMax="47" xr10:uidLastSave="{00000000-0000-0000-0000-000000000000}"/>
  <bookViews>
    <workbookView xWindow="-120" yWindow="-120" windowWidth="24240" windowHeight="13140" tabRatio="501" xr2:uid="{00000000-000D-0000-FFFF-FFFF00000000}"/>
  </bookViews>
  <sheets>
    <sheet name="Main Pricing" sheetId="4" r:id="rId1"/>
    <sheet name="Dubai Auto Pricing" sheetId="5" r:id="rId2"/>
    <sheet name="Servicing Schedule" sheetId="6" r:id="rId3"/>
    <sheet name="Auctus Pricing" sheetId="7" r:id="rId4"/>
    <sheet name="Engine Works" sheetId="1" r:id="rId5"/>
    <sheet name="Sheet1" sheetId="3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2" i="4" l="1"/>
  <c r="M68" i="6" l="1"/>
  <c r="J43" i="3" l="1"/>
  <c r="H63" i="3" l="1"/>
  <c r="AC25" i="3" l="1"/>
  <c r="Y110" i="4" l="1"/>
  <c r="S45" i="3" l="1"/>
  <c r="K45" i="3" l="1"/>
  <c r="M57" i="3" l="1"/>
  <c r="T38" i="3" l="1"/>
  <c r="V37" i="3"/>
  <c r="W59" i="3" l="1"/>
  <c r="Y47" i="3"/>
  <c r="Y58" i="3" s="1"/>
  <c r="P27" i="6" l="1"/>
  <c r="P26" i="6"/>
  <c r="P40" i="6" l="1"/>
  <c r="M150" i="1" l="1"/>
  <c r="O14" i="6" l="1"/>
  <c r="O148" i="1" l="1"/>
  <c r="K35" i="5"/>
  <c r="S52" i="1" l="1"/>
  <c r="H10" i="5" l="1"/>
  <c r="W26" i="1" l="1"/>
  <c r="P53" i="1" l="1"/>
  <c r="R29" i="1" l="1"/>
  <c r="M9" i="7" l="1"/>
  <c r="M14" i="7" s="1"/>
  <c r="O16" i="1" l="1"/>
  <c r="Q20" i="3" l="1"/>
  <c r="G14" i="3"/>
  <c r="B44" i="3" l="1"/>
  <c r="H17" i="3" l="1"/>
  <c r="N14" i="5"/>
  <c r="N13" i="5"/>
  <c r="N12" i="5"/>
  <c r="N11" i="5"/>
  <c r="N10" i="5"/>
  <c r="G4" i="3" l="1"/>
  <c r="BD64" i="4" l="1"/>
  <c r="B14" i="3" l="1"/>
  <c r="I13" i="3" l="1"/>
  <c r="M10" i="3" l="1"/>
  <c r="Y29" i="4" l="1"/>
  <c r="I19" i="3" l="1"/>
  <c r="AP80" i="4" l="1"/>
  <c r="AP81" i="4" l="1"/>
  <c r="AP82" i="4" s="1"/>
  <c r="AP83" i="4" s="1"/>
  <c r="AP84" i="4" l="1"/>
  <c r="Q23" i="7"/>
  <c r="U27" i="1"/>
  <c r="AP85" i="4" l="1"/>
  <c r="AA34" i="4"/>
  <c r="AP86" i="4" l="1"/>
  <c r="AP87" i="4" s="1"/>
  <c r="Y100" i="4"/>
  <c r="AP88" i="4" l="1"/>
  <c r="AP89" i="4" s="1"/>
  <c r="AY3" i="4"/>
  <c r="H22" i="7" l="1"/>
  <c r="I22" i="7" s="1"/>
  <c r="H23" i="7"/>
  <c r="I23" i="7" s="1"/>
  <c r="H28" i="7"/>
  <c r="I28" i="7" s="1"/>
  <c r="F27" i="7"/>
  <c r="H27" i="7" s="1"/>
  <c r="I27" i="7" s="1"/>
  <c r="F26" i="7"/>
  <c r="H26" i="7" s="1"/>
  <c r="I26" i="7" s="1"/>
  <c r="F25" i="7"/>
  <c r="H25" i="7" s="1"/>
  <c r="I25" i="7" s="1"/>
  <c r="F24" i="7"/>
  <c r="G24" i="7" s="1"/>
  <c r="G22" i="7"/>
  <c r="G23" i="7"/>
  <c r="G28" i="7"/>
  <c r="F21" i="7"/>
  <c r="H21" i="7" s="1"/>
  <c r="I21" i="7" s="1"/>
  <c r="F20" i="7"/>
  <c r="H20" i="7" s="1"/>
  <c r="E22" i="7"/>
  <c r="E23" i="7"/>
  <c r="E24" i="7"/>
  <c r="E25" i="7"/>
  <c r="E26" i="7"/>
  <c r="E27" i="7"/>
  <c r="E28" i="7"/>
  <c r="D21" i="7"/>
  <c r="E21" i="7" s="1"/>
  <c r="D20" i="7"/>
  <c r="E20" i="7" s="1"/>
  <c r="C21" i="7"/>
  <c r="C20" i="7"/>
  <c r="B25" i="7"/>
  <c r="B24" i="7"/>
  <c r="B21" i="7"/>
  <c r="B20" i="7"/>
  <c r="H19" i="7"/>
  <c r="G19" i="7"/>
  <c r="I19" i="7" s="1"/>
  <c r="E19" i="7"/>
  <c r="H18" i="7"/>
  <c r="G18" i="7"/>
  <c r="I18" i="7" s="1"/>
  <c r="E18" i="7"/>
  <c r="I17" i="7"/>
  <c r="H17" i="7"/>
  <c r="C17" i="7"/>
  <c r="I16" i="7"/>
  <c r="H16" i="7"/>
  <c r="C16" i="7"/>
  <c r="I15" i="7"/>
  <c r="H15" i="7"/>
  <c r="C15" i="7"/>
  <c r="H14" i="7"/>
  <c r="G14" i="7"/>
  <c r="I14" i="7" s="1"/>
  <c r="C14" i="7"/>
  <c r="H13" i="7"/>
  <c r="G13" i="7"/>
  <c r="I13" i="7" s="1"/>
  <c r="E13" i="7"/>
  <c r="C13" i="7"/>
  <c r="I12" i="7"/>
  <c r="H12" i="7"/>
  <c r="E12" i="7"/>
  <c r="C12" i="7"/>
  <c r="G26" i="7" l="1"/>
  <c r="H24" i="7"/>
  <c r="I24" i="7" s="1"/>
  <c r="G21" i="7"/>
  <c r="G20" i="7"/>
  <c r="I20" i="7" s="1"/>
  <c r="G27" i="7"/>
  <c r="G25" i="7"/>
  <c r="H5" i="5"/>
  <c r="H6" i="5"/>
  <c r="H7" i="5"/>
  <c r="I7" i="5"/>
  <c r="H8" i="5"/>
  <c r="I8" i="5"/>
  <c r="H9" i="5"/>
  <c r="I9" i="5"/>
  <c r="I4" i="5"/>
  <c r="H4" i="5"/>
  <c r="G11" i="5"/>
  <c r="I11" i="5" s="1"/>
  <c r="G10" i="5"/>
  <c r="I10" i="5" s="1"/>
  <c r="G5" i="5"/>
  <c r="I5" i="5" s="1"/>
  <c r="G6" i="5"/>
  <c r="I6" i="5" s="1"/>
  <c r="E5" i="5"/>
  <c r="E11" i="5"/>
  <c r="E10" i="5"/>
  <c r="C7" i="5"/>
  <c r="E4" i="5"/>
  <c r="C9" i="5"/>
  <c r="C5" i="5"/>
  <c r="C6" i="5"/>
  <c r="C8" i="5"/>
  <c r="C4" i="5"/>
  <c r="AR24" i="4" l="1"/>
  <c r="AL24" i="4"/>
  <c r="AI24" i="4"/>
  <c r="AF24" i="4"/>
  <c r="AE24" i="4"/>
  <c r="Y24" i="4"/>
  <c r="W24" i="4"/>
  <c r="V24" i="4"/>
  <c r="T24" i="4"/>
  <c r="S24" i="4"/>
  <c r="R24" i="4"/>
  <c r="O24" i="4"/>
  <c r="E24" i="4"/>
  <c r="C24" i="4"/>
  <c r="B24" i="4"/>
  <c r="AC53" i="4" l="1"/>
  <c r="AY4" i="4" l="1"/>
  <c r="AC4" i="4"/>
  <c r="L26" i="3" l="1"/>
  <c r="M26" i="3"/>
  <c r="N24" i="3"/>
  <c r="N25" i="3"/>
  <c r="N23" i="3"/>
  <c r="N22" i="3"/>
  <c r="H27" i="3"/>
  <c r="H21" i="3"/>
  <c r="H20" i="3"/>
  <c r="N26" i="3" l="1"/>
  <c r="C45" i="4" l="1"/>
  <c r="BC45" i="4" l="1"/>
  <c r="BB125" i="4" l="1"/>
  <c r="Y125" i="4"/>
  <c r="W125" i="4"/>
  <c r="BA125" i="4"/>
  <c r="AC3" i="4" l="1"/>
  <c r="AC24" i="4" s="1"/>
  <c r="O45" i="4" l="1"/>
  <c r="AV45" i="4"/>
  <c r="AU45" i="4"/>
  <c r="AR45" i="4" l="1"/>
  <c r="B45" i="4"/>
  <c r="Y45" i="4"/>
  <c r="W45" i="4"/>
  <c r="AI45" i="4"/>
  <c r="B19" i="1" l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J13" i="1"/>
  <c r="J14" i="1" s="1"/>
  <c r="J9" i="1"/>
  <c r="J10" i="1" s="1"/>
  <c r="J11" i="1" s="1"/>
  <c r="J4" i="1"/>
  <c r="J5" i="1" s="1"/>
  <c r="J6" i="1" s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C7" i="1"/>
  <c r="C8" i="1" s="1"/>
  <c r="C6" i="1"/>
  <c r="C4" i="1"/>
  <c r="B13" i="1"/>
  <c r="B14" i="1" s="1"/>
  <c r="B12" i="1"/>
  <c r="B16" i="1" s="1"/>
  <c r="B4" i="1"/>
  <c r="B5" i="1" s="1"/>
  <c r="B6" i="1" s="1"/>
  <c r="J12" i="1" l="1"/>
  <c r="J15" i="1"/>
  <c r="J16" i="1" s="1"/>
  <c r="B15" i="1"/>
</calcChain>
</file>

<file path=xl/sharedStrings.xml><?xml version="1.0" encoding="utf-8"?>
<sst xmlns="http://schemas.openxmlformats.org/spreadsheetml/2006/main" count="527" uniqueCount="341">
  <si>
    <t>BP - F</t>
  </si>
  <si>
    <t>BP - R</t>
  </si>
  <si>
    <t>Shocks - F</t>
  </si>
  <si>
    <t>Shocks - R</t>
  </si>
  <si>
    <t>TRE</t>
  </si>
  <si>
    <t>SB</t>
  </si>
  <si>
    <t>TOYOTA</t>
  </si>
  <si>
    <t>NISSAN</t>
  </si>
  <si>
    <t>HYUNDAI</t>
  </si>
  <si>
    <t>HONDA</t>
  </si>
  <si>
    <t>MERCEDES</t>
  </si>
  <si>
    <t>Corolla</t>
  </si>
  <si>
    <t>Camry</t>
  </si>
  <si>
    <t>Avensis</t>
  </si>
  <si>
    <t>Tundra</t>
  </si>
  <si>
    <t>Landcruiser</t>
  </si>
  <si>
    <t>Rav 4</t>
  </si>
  <si>
    <t>Matrix</t>
  </si>
  <si>
    <t>Hilux</t>
  </si>
  <si>
    <t>4Runner</t>
  </si>
  <si>
    <t>Sequoia</t>
  </si>
  <si>
    <t>Takoma</t>
  </si>
  <si>
    <t>Fortuner</t>
  </si>
  <si>
    <t>Venza</t>
  </si>
  <si>
    <t>Sentra</t>
  </si>
  <si>
    <t>Almera</t>
  </si>
  <si>
    <t>Versa</t>
  </si>
  <si>
    <t>Micra</t>
  </si>
  <si>
    <t>Sunny</t>
  </si>
  <si>
    <t>Altima</t>
  </si>
  <si>
    <t>Skyline</t>
  </si>
  <si>
    <t>Maxima</t>
  </si>
  <si>
    <t>Rogue</t>
  </si>
  <si>
    <t>Juke</t>
  </si>
  <si>
    <t>Hardbody</t>
  </si>
  <si>
    <t>Navarra</t>
  </si>
  <si>
    <t>March</t>
  </si>
  <si>
    <t>Frontier</t>
  </si>
  <si>
    <t>Pathfinder</t>
  </si>
  <si>
    <t>Xterra</t>
  </si>
  <si>
    <t>Murrano</t>
  </si>
  <si>
    <t>Patrol</t>
  </si>
  <si>
    <t>Armada</t>
  </si>
  <si>
    <t>Xtrail</t>
  </si>
  <si>
    <t>Elantra</t>
  </si>
  <si>
    <t>Sonata</t>
  </si>
  <si>
    <t>i10</t>
  </si>
  <si>
    <t>Accent</t>
  </si>
  <si>
    <t>Avante</t>
  </si>
  <si>
    <t>Azeera</t>
  </si>
  <si>
    <t>Tucson</t>
  </si>
  <si>
    <t>iX35</t>
  </si>
  <si>
    <t>Veloster</t>
  </si>
  <si>
    <t>CRV</t>
  </si>
  <si>
    <t>Santafe</t>
  </si>
  <si>
    <t>H1</t>
  </si>
  <si>
    <t>Terracan</t>
  </si>
  <si>
    <t>Civic</t>
  </si>
  <si>
    <t>Element</t>
  </si>
  <si>
    <t>Accord</t>
  </si>
  <si>
    <t>Pilot</t>
  </si>
  <si>
    <t>Accord CT</t>
  </si>
  <si>
    <t>C280</t>
  </si>
  <si>
    <t>C320</t>
  </si>
  <si>
    <t>C350</t>
  </si>
  <si>
    <t>C180</t>
  </si>
  <si>
    <t>A140</t>
  </si>
  <si>
    <t>E280</t>
  </si>
  <si>
    <t>R350</t>
  </si>
  <si>
    <t>C300</t>
  </si>
  <si>
    <t>ML350 4Matic</t>
  </si>
  <si>
    <t>C230</t>
  </si>
  <si>
    <t>ML280</t>
  </si>
  <si>
    <t>L200</t>
  </si>
  <si>
    <t>CLA250</t>
  </si>
  <si>
    <t>GLA250</t>
  </si>
  <si>
    <t>E350</t>
  </si>
  <si>
    <t>GLK</t>
  </si>
  <si>
    <t>MITSUBISHI</t>
  </si>
  <si>
    <t>Lancer</t>
  </si>
  <si>
    <t>ASX</t>
  </si>
  <si>
    <t>Atos</t>
  </si>
  <si>
    <t>Outlander</t>
  </si>
  <si>
    <t>Pajero</t>
  </si>
  <si>
    <t>Sportero</t>
  </si>
  <si>
    <t>FORD</t>
  </si>
  <si>
    <t>Focus</t>
  </si>
  <si>
    <t>Escape</t>
  </si>
  <si>
    <t>Fiester</t>
  </si>
  <si>
    <t>Freestyle</t>
  </si>
  <si>
    <t>Explorer</t>
  </si>
  <si>
    <t>Edge</t>
  </si>
  <si>
    <t>F150</t>
  </si>
  <si>
    <t>Ranger</t>
  </si>
  <si>
    <t>Mondeo</t>
  </si>
  <si>
    <t>Escort</t>
  </si>
  <si>
    <t>Tourneo</t>
  </si>
  <si>
    <t>KIA</t>
  </si>
  <si>
    <t>Picanto</t>
  </si>
  <si>
    <t>Cerato</t>
  </si>
  <si>
    <t>Optima</t>
  </si>
  <si>
    <t>Morning</t>
  </si>
  <si>
    <t>Rio</t>
  </si>
  <si>
    <t>Forte</t>
  </si>
  <si>
    <t>Magentis</t>
  </si>
  <si>
    <t>Sportage</t>
  </si>
  <si>
    <t>Sorento</t>
  </si>
  <si>
    <t>Clarus</t>
  </si>
  <si>
    <t>Spectra</t>
  </si>
  <si>
    <t>Zedona</t>
  </si>
  <si>
    <t>Highlander</t>
  </si>
  <si>
    <t>BJ - U / BJ - L</t>
  </si>
  <si>
    <t>ML320</t>
  </si>
  <si>
    <t>Injec.</t>
  </si>
  <si>
    <t>Spark P</t>
  </si>
  <si>
    <t>ABS S</t>
  </si>
  <si>
    <t>Crnk S</t>
  </si>
  <si>
    <t>Ang S</t>
  </si>
  <si>
    <t>Coil S</t>
  </si>
  <si>
    <t>Oxy S</t>
  </si>
  <si>
    <t>Cam SS</t>
  </si>
  <si>
    <t>Fuel Pump</t>
  </si>
  <si>
    <t>Start.</t>
  </si>
  <si>
    <t>Altn</t>
  </si>
  <si>
    <t>Shock Absorber - F</t>
  </si>
  <si>
    <t>Shock Absorber - R</t>
  </si>
  <si>
    <t>Brake Pad - F</t>
  </si>
  <si>
    <t>Brake Pad - R</t>
  </si>
  <si>
    <t>Engine Oil</t>
  </si>
  <si>
    <t>Oil Filter</t>
  </si>
  <si>
    <t>Air Filter</t>
  </si>
  <si>
    <t>Fuel Cleaner</t>
  </si>
  <si>
    <t>Spark Plugs - V6</t>
  </si>
  <si>
    <t xml:space="preserve">Labour for Oil Change </t>
  </si>
  <si>
    <t>Labour for Brakes only</t>
  </si>
  <si>
    <t>Labour for Shocks</t>
  </si>
  <si>
    <t>T-Mount</t>
  </si>
  <si>
    <t>PS Motor</t>
  </si>
  <si>
    <t>Water P</t>
  </si>
  <si>
    <t>SP</t>
  </si>
  <si>
    <t>AF</t>
  </si>
  <si>
    <t>OF</t>
  </si>
  <si>
    <t>Fan B</t>
  </si>
  <si>
    <t>Cam Shaft S</t>
  </si>
  <si>
    <t>Coil</t>
  </si>
  <si>
    <t>Head G</t>
  </si>
  <si>
    <t>Crank Shaft Bea</t>
  </si>
  <si>
    <t>Crank Shaft Pos S</t>
  </si>
  <si>
    <t>FF</t>
  </si>
  <si>
    <t>Eng Bearing</t>
  </si>
  <si>
    <t>LA-C</t>
  </si>
  <si>
    <t>LABB</t>
  </si>
  <si>
    <t>LABS</t>
  </si>
  <si>
    <t>HOBB - F</t>
  </si>
  <si>
    <t>HOBC - R</t>
  </si>
  <si>
    <t>EO</t>
  </si>
  <si>
    <t>Rings</t>
  </si>
  <si>
    <t>Oil Pump</t>
  </si>
  <si>
    <t>Prado</t>
  </si>
  <si>
    <t>Timing B</t>
  </si>
  <si>
    <t>Medicals - 3 days</t>
  </si>
  <si>
    <t>In-House</t>
  </si>
  <si>
    <t>Off-site</t>
  </si>
  <si>
    <t>Lab - Fee</t>
  </si>
  <si>
    <t>Prof. Chrgs</t>
  </si>
  <si>
    <t>Dispatch</t>
  </si>
  <si>
    <t>Police Clearance</t>
  </si>
  <si>
    <t>Police Clearance - 7 days</t>
  </si>
  <si>
    <t>Biopage of Passport</t>
  </si>
  <si>
    <t>Passport Pictures</t>
  </si>
  <si>
    <t>Schools attended in Gh</t>
  </si>
  <si>
    <t>Parents Name</t>
  </si>
  <si>
    <t>Oversea Address</t>
  </si>
  <si>
    <t>Charges</t>
  </si>
  <si>
    <t>Facilitation</t>
  </si>
  <si>
    <t>Docs Needed</t>
  </si>
  <si>
    <t>GHc</t>
  </si>
  <si>
    <t>Eur</t>
  </si>
  <si>
    <t>Visa Processing</t>
  </si>
  <si>
    <t>Visa Fee</t>
  </si>
  <si>
    <t>Medicals</t>
  </si>
  <si>
    <t>Courrier</t>
  </si>
  <si>
    <t>Miscellaneous</t>
  </si>
  <si>
    <t>Ball Ends</t>
  </si>
  <si>
    <t>SL - F</t>
  </si>
  <si>
    <t>SL - R</t>
  </si>
  <si>
    <t>Upper Arm C</t>
  </si>
  <si>
    <t>Central Lock Motor</t>
  </si>
  <si>
    <t>VOLVO</t>
  </si>
  <si>
    <t>S 40</t>
  </si>
  <si>
    <t>Mass Sensor</t>
  </si>
  <si>
    <t>Knock Sensor</t>
  </si>
  <si>
    <t>Gearbox Seat</t>
  </si>
  <si>
    <t>Clutch System</t>
  </si>
  <si>
    <t>Toyota Hiace</t>
  </si>
  <si>
    <t>FG Cruiser</t>
  </si>
  <si>
    <t>Steering Rack</t>
  </si>
  <si>
    <t>Yaris</t>
  </si>
  <si>
    <t>Water Tank</t>
  </si>
  <si>
    <t>Servo</t>
  </si>
  <si>
    <t>A/C F</t>
  </si>
  <si>
    <t>Door Switch</t>
  </si>
  <si>
    <t>Water Thermostat</t>
  </si>
  <si>
    <t>Speed Sensor</t>
  </si>
  <si>
    <t>DRIVE SHAFT</t>
  </si>
  <si>
    <t>Exhaust</t>
  </si>
  <si>
    <t>Alternator</t>
  </si>
  <si>
    <t>Daewoo</t>
  </si>
  <si>
    <t>Matiz</t>
  </si>
  <si>
    <t>Air Flow Sensor</t>
  </si>
  <si>
    <t>Infiniti</t>
  </si>
  <si>
    <t>EX 35</t>
  </si>
  <si>
    <t>HONDA / ACURA</t>
  </si>
  <si>
    <t>Express</t>
  </si>
  <si>
    <t>Wiper Motor</t>
  </si>
  <si>
    <t>Cruze</t>
  </si>
  <si>
    <t>Water Jacket</t>
  </si>
  <si>
    <t>PS Pump</t>
  </si>
  <si>
    <t>Minivan</t>
  </si>
  <si>
    <t>BMW</t>
  </si>
  <si>
    <t>X5</t>
  </si>
  <si>
    <t>Equinox</t>
  </si>
  <si>
    <t>Sonic</t>
  </si>
  <si>
    <t>Lower Arm</t>
  </si>
  <si>
    <t>Creta</t>
  </si>
  <si>
    <t>Adjuster</t>
  </si>
  <si>
    <t>FX 35</t>
  </si>
  <si>
    <t>ITEMS</t>
  </si>
  <si>
    <t>COROLLA</t>
  </si>
  <si>
    <t>CAMRY</t>
  </si>
  <si>
    <t>ENGINE OIL</t>
  </si>
  <si>
    <t>OIL FILTER</t>
  </si>
  <si>
    <t>AIR FILTER</t>
  </si>
  <si>
    <t>FUEL CLEANER</t>
  </si>
  <si>
    <t>SPARK PLUGS</t>
  </si>
  <si>
    <t>BRAKE PAD - R</t>
  </si>
  <si>
    <t>BRAKE PAD - F</t>
  </si>
  <si>
    <t>HILUX</t>
  </si>
  <si>
    <t>PETROL</t>
  </si>
  <si>
    <t>DIESEL</t>
  </si>
  <si>
    <t>FUEL FILTER</t>
  </si>
  <si>
    <t>LANDCRUISER</t>
  </si>
  <si>
    <t>PRADO</t>
  </si>
  <si>
    <t>FRONT SHOCK</t>
  </si>
  <si>
    <t>REAR SHOCKS</t>
  </si>
  <si>
    <t>TOP BALL JOINT</t>
  </si>
  <si>
    <t>DOWN BALL JOINT</t>
  </si>
  <si>
    <t>TIE ROD END</t>
  </si>
  <si>
    <t>STABILIZER LINK</t>
  </si>
  <si>
    <t>LOWER ARM</t>
  </si>
  <si>
    <t>UPPER ARM</t>
  </si>
  <si>
    <t>BALL ENDS</t>
  </si>
  <si>
    <t>LOWER ARM BUSHINGS</t>
  </si>
  <si>
    <t>STABILIZER BUSHINGS</t>
  </si>
  <si>
    <t>HOB</t>
  </si>
  <si>
    <t>HOB BEARING</t>
  </si>
  <si>
    <t>E220</t>
  </si>
  <si>
    <t>GLK 350</t>
  </si>
  <si>
    <t>Steering Angle Sensor</t>
  </si>
  <si>
    <t>BASIC PRICING SCHEDULES FOR THE MOVING TOYOTA BRANDS &amp; ITEMS</t>
  </si>
  <si>
    <t>NB: Labour / Workmanship charges is dependendent on scope of work</t>
  </si>
  <si>
    <r>
      <t xml:space="preserve">        </t>
    </r>
    <r>
      <rPr>
        <b/>
        <sz val="11"/>
        <color theme="1"/>
        <rFont val="Calibri"/>
        <family val="2"/>
        <scheme val="minor"/>
      </rPr>
      <t>Again, all prices are VAT/NHIL exclusive</t>
    </r>
  </si>
  <si>
    <t>Windscreen</t>
  </si>
  <si>
    <t>Map Sensor</t>
  </si>
  <si>
    <t>Disc - F</t>
  </si>
  <si>
    <t>Disc - R</t>
  </si>
  <si>
    <t>Belt Adjuster</t>
  </si>
  <si>
    <t>Radiator</t>
  </si>
  <si>
    <t>AC Condensor</t>
  </si>
  <si>
    <t>RANGE ROVER</t>
  </si>
  <si>
    <t>Sports - Perp Type</t>
  </si>
  <si>
    <t>Evoque</t>
  </si>
  <si>
    <t>Sports - Kwa Type</t>
  </si>
  <si>
    <t>Air Lifting Motor</t>
  </si>
  <si>
    <t>OPEL</t>
  </si>
  <si>
    <t>CHEVROLET</t>
  </si>
  <si>
    <t>OverH G</t>
  </si>
  <si>
    <t>Thermostat</t>
  </si>
  <si>
    <t>Horn Coil</t>
  </si>
  <si>
    <t>SUZUKI</t>
  </si>
  <si>
    <t>Vitara</t>
  </si>
  <si>
    <t>Head Gasket</t>
  </si>
  <si>
    <t>Arm Bushing - R</t>
  </si>
  <si>
    <t>Murano</t>
  </si>
  <si>
    <t>Oxygen Sensor</t>
  </si>
  <si>
    <t>QX 56</t>
  </si>
  <si>
    <t>X1</t>
  </si>
  <si>
    <t>SKODA</t>
  </si>
  <si>
    <t>Octavio</t>
  </si>
  <si>
    <t>Expedition</t>
  </si>
  <si>
    <t>Abs Sensor</t>
  </si>
  <si>
    <t xml:space="preserve"> </t>
  </si>
  <si>
    <t>JEEP</t>
  </si>
  <si>
    <t>Patriot</t>
  </si>
  <si>
    <t>Company</t>
  </si>
  <si>
    <t>B-Sensors-F</t>
  </si>
  <si>
    <t>B-Sensors-R</t>
  </si>
  <si>
    <t>JX 35</t>
  </si>
  <si>
    <t>Belt Roller</t>
  </si>
  <si>
    <t>AUDI</t>
  </si>
  <si>
    <t>A4</t>
  </si>
  <si>
    <t>Tacoma</t>
  </si>
  <si>
    <t>Tension Bar</t>
  </si>
  <si>
    <t>HOBB - R</t>
  </si>
  <si>
    <t>Fusion</t>
  </si>
  <si>
    <t>Navara</t>
  </si>
  <si>
    <t>ACURA</t>
  </si>
  <si>
    <t>Mdx</t>
  </si>
  <si>
    <t>Rdx</t>
  </si>
  <si>
    <t>C250</t>
  </si>
  <si>
    <t>Cherokee</t>
  </si>
  <si>
    <t>Sports - Dzifa Type</t>
  </si>
  <si>
    <t>Spring Coil</t>
  </si>
  <si>
    <t>PONTIAC</t>
  </si>
  <si>
    <t>Vibe</t>
  </si>
  <si>
    <t>Engine Seat - Top</t>
  </si>
  <si>
    <t>Engine Seat - Down</t>
  </si>
  <si>
    <t>]\]\</t>
  </si>
  <si>
    <t>270+50</t>
  </si>
  <si>
    <t xml:space="preserve">            </t>
  </si>
  <si>
    <t>Q5</t>
  </si>
  <si>
    <t>BELT SIZE</t>
  </si>
  <si>
    <t>6PK 1275</t>
  </si>
  <si>
    <t>1120 for 1</t>
  </si>
  <si>
    <t>LEXUS</t>
  </si>
  <si>
    <t>GX460</t>
  </si>
  <si>
    <t>6PK2140</t>
  </si>
  <si>
    <t>Qashqia</t>
  </si>
  <si>
    <t>PAJERO</t>
  </si>
  <si>
    <t>GMC</t>
  </si>
  <si>
    <t>Tarrain</t>
  </si>
  <si>
    <t>Wranglar</t>
  </si>
  <si>
    <t>CVT VALVE</t>
  </si>
  <si>
    <t>RDX</t>
  </si>
  <si>
    <t>BOOTH SHOCKS</t>
  </si>
  <si>
    <t>INJECTORS</t>
  </si>
  <si>
    <t>TURBO CHARGER</t>
  </si>
  <si>
    <t>KONA</t>
  </si>
  <si>
    <t>FUEL PUMP REP. KITS</t>
  </si>
  <si>
    <t>700</t>
  </si>
  <si>
    <t>RX350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</si>
</sst>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" fontId="2" fillId="0" borderId="0" xfId="0" applyNumberFormat="1" applyFont="1"/>
    <xf numFmtId="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4" fontId="0" fillId="0" borderId="0" xfId="0" applyNumberFormat="1"/>
    <xf numFmtId="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4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4" fontId="2" fillId="2" borderId="0" xfId="0" applyNumberFormat="1" applyFont="1" applyFill="1" applyAlignment="1">
      <alignment horizontal="right"/>
    </xf>
    <xf numFmtId="0" fontId="2" fillId="2" borderId="0" xfId="0" applyFont="1" applyFill="1"/>
    <xf numFmtId="4" fontId="2" fillId="2" borderId="0" xfId="0" applyNumberFormat="1" applyFont="1" applyFill="1"/>
    <xf numFmtId="4" fontId="2" fillId="3" borderId="0" xfId="0" applyNumberFormat="1" applyFont="1" applyFill="1" applyAlignment="1">
      <alignment horizontal="right"/>
    </xf>
    <xf numFmtId="0" fontId="2" fillId="3" borderId="0" xfId="0" applyFont="1" applyFill="1"/>
    <xf numFmtId="4" fontId="2" fillId="4" borderId="0" xfId="0" applyNumberFormat="1" applyFont="1" applyFill="1" applyAlignment="1">
      <alignment horizontal="right"/>
    </xf>
    <xf numFmtId="4" fontId="2" fillId="3" borderId="0" xfId="0" applyNumberFormat="1" applyFont="1" applyFill="1" applyAlignment="1">
      <alignment horizontal="right"/>
    </xf>
    <xf numFmtId="4" fontId="2" fillId="5" borderId="0" xfId="0" applyNumberFormat="1" applyFont="1" applyFill="1" applyAlignment="1">
      <alignment horizontal="right"/>
    </xf>
    <xf numFmtId="49" fontId="2" fillId="5" borderId="0" xfId="0" applyNumberFormat="1" applyFont="1" applyFill="1" applyAlignment="1">
      <alignment horizontal="right"/>
    </xf>
    <xf numFmtId="4" fontId="4" fillId="5" borderId="0" xfId="0" applyNumberFormat="1" applyFont="1" applyFill="1" applyAlignment="1">
      <alignment horizontal="right"/>
    </xf>
    <xf numFmtId="4" fontId="2" fillId="6" borderId="0" xfId="0" applyNumberFormat="1" applyFont="1" applyFill="1" applyAlignment="1">
      <alignment horizontal="right"/>
    </xf>
    <xf numFmtId="4" fontId="1" fillId="6" borderId="0" xfId="0" applyNumberFormat="1" applyFont="1" applyFill="1" applyAlignment="1">
      <alignment horizontal="right"/>
    </xf>
    <xf numFmtId="0" fontId="2" fillId="7" borderId="0" xfId="0" applyFont="1" applyFill="1" applyAlignment="1">
      <alignment horizontal="left"/>
    </xf>
    <xf numFmtId="4" fontId="2" fillId="7" borderId="0" xfId="0" applyNumberFormat="1" applyFont="1" applyFill="1" applyAlignment="1">
      <alignment horizontal="right"/>
    </xf>
    <xf numFmtId="0" fontId="2" fillId="7" borderId="0" xfId="0" applyFont="1" applyFill="1"/>
    <xf numFmtId="0" fontId="2" fillId="5" borderId="0" xfId="0" applyFont="1" applyFill="1" applyAlignment="1">
      <alignment horizontal="left"/>
    </xf>
    <xf numFmtId="0" fontId="2" fillId="5" borderId="0" xfId="0" applyFont="1" applyFill="1"/>
    <xf numFmtId="0" fontId="2" fillId="8" borderId="0" xfId="0" applyFont="1" applyFill="1" applyAlignment="1">
      <alignment horizontal="left"/>
    </xf>
    <xf numFmtId="4" fontId="2" fillId="8" borderId="0" xfId="0" applyNumberFormat="1" applyFont="1" applyFill="1" applyAlignment="1">
      <alignment horizontal="right"/>
    </xf>
    <xf numFmtId="0" fontId="2" fillId="8" borderId="0" xfId="0" applyFont="1" applyFill="1"/>
    <xf numFmtId="4" fontId="2" fillId="8" borderId="0" xfId="0" applyNumberFormat="1" applyFont="1" applyFill="1"/>
    <xf numFmtId="0" fontId="2" fillId="9" borderId="0" xfId="0" applyFont="1" applyFill="1" applyAlignment="1">
      <alignment horizontal="left"/>
    </xf>
    <xf numFmtId="4" fontId="2" fillId="9" borderId="0" xfId="0" applyNumberFormat="1" applyFont="1" applyFill="1" applyAlignment="1">
      <alignment horizontal="right"/>
    </xf>
    <xf numFmtId="0" fontId="2" fillId="9" borderId="0" xfId="0" applyFont="1" applyFill="1"/>
    <xf numFmtId="0" fontId="4" fillId="7" borderId="0" xfId="0" applyFont="1" applyFill="1" applyAlignment="1">
      <alignment horizontal="left"/>
    </xf>
    <xf numFmtId="4" fontId="4" fillId="7" borderId="0" xfId="0" applyNumberFormat="1" applyFont="1" applyFill="1" applyAlignment="1">
      <alignment horizontal="right"/>
    </xf>
    <xf numFmtId="4" fontId="4" fillId="7" borderId="0" xfId="0" applyNumberFormat="1" applyFont="1" applyFill="1"/>
    <xf numFmtId="0" fontId="4" fillId="7" borderId="0" xfId="0" applyFont="1" applyFill="1"/>
    <xf numFmtId="4" fontId="4" fillId="8" borderId="0" xfId="0" applyNumberFormat="1" applyFont="1" applyFill="1" applyAlignment="1">
      <alignment horizontal="right"/>
    </xf>
    <xf numFmtId="0" fontId="1" fillId="8" borderId="0" xfId="0" applyFont="1" applyFill="1" applyAlignment="1">
      <alignment horizontal="left"/>
    </xf>
    <xf numFmtId="4" fontId="2" fillId="8" borderId="0" xfId="0" applyNumberFormat="1" applyFont="1" applyFill="1" applyAlignment="1">
      <alignment horizontal="right"/>
    </xf>
    <xf numFmtId="4" fontId="2" fillId="5" borderId="0" xfId="0" applyNumberFormat="1" applyFont="1" applyFill="1" applyAlignment="1">
      <alignment horizontal="right"/>
    </xf>
    <xf numFmtId="4" fontId="2" fillId="7" borderId="0" xfId="0" applyNumberFormat="1" applyFont="1" applyFill="1" applyAlignment="1">
      <alignment horizontal="right"/>
    </xf>
    <xf numFmtId="4" fontId="2" fillId="0" borderId="0" xfId="0" applyNumberFormat="1" applyFont="1" applyAlignment="1">
      <alignment horizontal="right"/>
    </xf>
    <xf numFmtId="4" fontId="2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4" fontId="2" fillId="5" borderId="0" xfId="0" applyNumberFormat="1" applyFont="1" applyFill="1" applyAlignment="1">
      <alignment horizontal="right"/>
    </xf>
    <xf numFmtId="4" fontId="2" fillId="8" borderId="0" xfId="0" applyNumberFormat="1" applyFont="1" applyFill="1" applyAlignment="1">
      <alignment horizontal="right"/>
    </xf>
    <xf numFmtId="4" fontId="1" fillId="0" borderId="0" xfId="0" applyNumberFormat="1" applyFont="1" applyAlignment="1">
      <alignment horizontal="right"/>
    </xf>
    <xf numFmtId="4" fontId="2" fillId="2" borderId="0" xfId="0" applyNumberFormat="1" applyFont="1" applyFill="1" applyAlignment="1">
      <alignment horizontal="right"/>
    </xf>
    <xf numFmtId="4" fontId="2" fillId="7" borderId="0" xfId="0" applyNumberFormat="1" applyFont="1" applyFill="1" applyAlignment="1">
      <alignment horizontal="right"/>
    </xf>
    <xf numFmtId="4" fontId="2" fillId="9" borderId="0" xfId="0" applyNumberFormat="1" applyFont="1" applyFill="1" applyAlignment="1">
      <alignment horizontal="righ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1</xdr:row>
      <xdr:rowOff>38100</xdr:rowOff>
    </xdr:from>
    <xdr:ext cx="1476376" cy="868111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228600"/>
          <a:ext cx="1476376" cy="868111"/>
        </a:xfrm>
        <a:prstGeom prst="rect">
          <a:avLst/>
        </a:prstGeom>
      </xdr:spPr>
    </xdr:pic>
    <xdr:clientData/>
  </xdr:oneCellAnchor>
  <xdr:twoCellAnchor>
    <xdr:from>
      <xdr:col>6</xdr:col>
      <xdr:colOff>352425</xdr:colOff>
      <xdr:row>1</xdr:row>
      <xdr:rowOff>19050</xdr:rowOff>
    </xdr:from>
    <xdr:to>
      <xdr:col>9</xdr:col>
      <xdr:colOff>542925</xdr:colOff>
      <xdr:row>5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886325" y="209550"/>
          <a:ext cx="20193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AUCTUS LOGO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voice%20and%20Requisi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Requisition"/>
      <sheetName val="Quotation"/>
      <sheetName val="NEW"/>
      <sheetName val="Engine"/>
      <sheetName val="VAT NHIL"/>
      <sheetName val="Stores"/>
      <sheetName val="Abra"/>
      <sheetName val="Sheet1"/>
      <sheetName val="Sheet3"/>
      <sheetName val="Sheet4"/>
      <sheetName val="Sheet5"/>
      <sheetName val="Sheet7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329"/>
  <sheetViews>
    <sheetView tabSelected="1" zoomScale="106" zoomScaleNormal="106"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G62" sqref="G62"/>
    </sheetView>
  </sheetViews>
  <sheetFormatPr defaultRowHeight="15" x14ac:dyDescent="0.25"/>
  <cols>
    <col min="1" max="1" width="19" style="3" bestFit="1" customWidth="1"/>
    <col min="2" max="2" width="11" style="3" customWidth="1"/>
    <col min="3" max="3" width="11.28515625" style="2" bestFit="1" customWidth="1"/>
    <col min="4" max="4" width="9.140625" style="2" bestFit="1" customWidth="1"/>
    <col min="5" max="5" width="10" style="2" bestFit="1" customWidth="1"/>
    <col min="6" max="6" width="12" style="2" customWidth="1"/>
    <col min="7" max="7" width="12.7109375" style="2" customWidth="1"/>
    <col min="8" max="8" width="10.7109375" style="2" customWidth="1"/>
    <col min="9" max="9" width="9.42578125" style="2" customWidth="1"/>
    <col min="10" max="10" width="8.7109375" style="8" customWidth="1"/>
    <col min="11" max="11" width="9.5703125" style="8" customWidth="1"/>
    <col min="12" max="12" width="14" style="8" bestFit="1" customWidth="1"/>
    <col min="13" max="13" width="14" style="8" customWidth="1"/>
    <col min="14" max="14" width="10.140625" style="8" bestFit="1" customWidth="1"/>
    <col min="15" max="15" width="9" style="2" bestFit="1" customWidth="1"/>
    <col min="16" max="16" width="9.28515625" style="2" bestFit="1" customWidth="1"/>
    <col min="17" max="17" width="15.85546875" style="2" bestFit="1" customWidth="1"/>
    <col min="18" max="22" width="9.28515625" style="2" bestFit="1" customWidth="1"/>
    <col min="23" max="24" width="10.7109375" style="2" customWidth="1"/>
    <col min="25" max="25" width="11.140625" style="2" bestFit="1" customWidth="1"/>
    <col min="26" max="26" width="9.140625" style="2"/>
    <col min="27" max="27" width="9.28515625" style="2" bestFit="1" customWidth="1"/>
    <col min="28" max="28" width="10" style="2" bestFit="1" customWidth="1"/>
    <col min="29" max="29" width="9.85546875" style="2" customWidth="1"/>
    <col min="30" max="30" width="13.85546875" style="2" bestFit="1" customWidth="1"/>
    <col min="31" max="31" width="10.85546875" style="2" bestFit="1" customWidth="1"/>
    <col min="32" max="32" width="8.5703125" style="2" customWidth="1"/>
    <col min="33" max="33" width="13.5703125" style="2" customWidth="1"/>
    <col min="34" max="35" width="9.28515625" style="2" bestFit="1" customWidth="1"/>
    <col min="36" max="36" width="9.28515625" style="2" customWidth="1"/>
    <col min="37" max="38" width="9.28515625" style="2" bestFit="1" customWidth="1"/>
    <col min="39" max="39" width="10.28515625" style="2" customWidth="1"/>
    <col min="40" max="40" width="17.5703125" style="2" customWidth="1"/>
    <col min="41" max="41" width="22.140625" style="2" customWidth="1"/>
    <col min="42" max="42" width="9.28515625" style="2" bestFit="1" customWidth="1"/>
    <col min="43" max="43" width="13.85546875" style="2" bestFit="1" customWidth="1"/>
    <col min="44" max="44" width="9.28515625" style="2" bestFit="1" customWidth="1"/>
    <col min="45" max="45" width="21.28515625" style="2" customWidth="1"/>
    <col min="46" max="46" width="20.28515625" style="2" customWidth="1"/>
    <col min="47" max="47" width="16" style="2" bestFit="1" customWidth="1"/>
    <col min="48" max="48" width="20.85546875" style="2" bestFit="1" customWidth="1"/>
    <col min="49" max="50" width="20.7109375" style="2" customWidth="1"/>
    <col min="51" max="51" width="9.28515625" style="2" bestFit="1" customWidth="1"/>
    <col min="52" max="52" width="9.28515625" style="2" customWidth="1"/>
    <col min="53" max="53" width="16.5703125" style="2" bestFit="1" customWidth="1"/>
    <col min="54" max="55" width="12.85546875" style="2" bestFit="1" customWidth="1"/>
    <col min="56" max="56" width="9.85546875" style="2" bestFit="1" customWidth="1"/>
    <col min="57" max="57" width="11.140625" style="2" bestFit="1" customWidth="1"/>
    <col min="58" max="58" width="20.42578125" style="2" bestFit="1" customWidth="1"/>
    <col min="59" max="59" width="22.42578125" style="2" bestFit="1" customWidth="1"/>
    <col min="60" max="60" width="13.42578125" style="2" bestFit="1" customWidth="1"/>
    <col min="61" max="61" width="13.42578125" style="2" customWidth="1"/>
    <col min="62" max="62" width="14.5703125" style="2" bestFit="1" customWidth="1"/>
    <col min="63" max="63" width="16.28515625" style="2" bestFit="1" customWidth="1"/>
    <col min="64" max="64" width="18.42578125" style="2" customWidth="1"/>
    <col min="65" max="65" width="20.5703125" style="2" customWidth="1"/>
    <col min="66" max="66" width="13.85546875" style="2" bestFit="1" customWidth="1"/>
    <col min="67" max="67" width="14.7109375" style="2" bestFit="1" customWidth="1"/>
    <col min="68" max="68" width="14.5703125" style="2" bestFit="1" customWidth="1"/>
    <col min="69" max="69" width="12.28515625" style="2" bestFit="1" customWidth="1"/>
    <col min="70" max="70" width="9.28515625" style="2" bestFit="1" customWidth="1"/>
    <col min="71" max="71" width="12.42578125" style="2" bestFit="1" customWidth="1"/>
    <col min="72" max="72" width="18.5703125" style="2" bestFit="1" customWidth="1"/>
    <col min="73" max="73" width="28.5703125" style="2" customWidth="1"/>
    <col min="74" max="74" width="9.28515625" style="2" bestFit="1" customWidth="1"/>
    <col min="75" max="75" width="13.5703125" style="2" bestFit="1" customWidth="1"/>
    <col min="76" max="76" width="10" style="2" customWidth="1"/>
    <col min="77" max="77" width="12.140625" style="2" bestFit="1" customWidth="1"/>
    <col min="78" max="78" width="18.28515625" style="2" customWidth="1"/>
    <col min="79" max="95" width="9.140625" style="2"/>
    <col min="96" max="96" width="17.7109375" style="2" customWidth="1"/>
    <col min="97" max="97" width="13.7109375" style="2" customWidth="1"/>
    <col min="98" max="16384" width="9.140625" style="2"/>
  </cols>
  <sheetData>
    <row r="1" spans="1:97" s="1" customFormat="1" ht="14.25" x14ac:dyDescent="0.2">
      <c r="A1" s="4"/>
      <c r="B1" s="1" t="s">
        <v>2</v>
      </c>
      <c r="C1" s="1" t="s">
        <v>3</v>
      </c>
      <c r="D1" s="1" t="s">
        <v>0</v>
      </c>
      <c r="E1" s="1" t="s">
        <v>1</v>
      </c>
      <c r="F1" s="1" t="s">
        <v>295</v>
      </c>
      <c r="G1" s="1" t="s">
        <v>296</v>
      </c>
      <c r="H1" s="1" t="s">
        <v>264</v>
      </c>
      <c r="I1" s="1" t="s">
        <v>265</v>
      </c>
      <c r="J1" s="54" t="s">
        <v>111</v>
      </c>
      <c r="K1" s="54"/>
      <c r="L1" s="1" t="s">
        <v>186</v>
      </c>
      <c r="M1" s="1" t="s">
        <v>223</v>
      </c>
      <c r="N1" s="1" t="s">
        <v>183</v>
      </c>
      <c r="O1" s="1" t="s">
        <v>4</v>
      </c>
      <c r="P1" s="1" t="s">
        <v>150</v>
      </c>
      <c r="Q1" s="1" t="s">
        <v>204</v>
      </c>
      <c r="R1" s="1" t="s">
        <v>151</v>
      </c>
      <c r="S1" s="1" t="s">
        <v>152</v>
      </c>
      <c r="T1" s="1" t="s">
        <v>184</v>
      </c>
      <c r="U1" s="1" t="s">
        <v>185</v>
      </c>
      <c r="V1" s="1" t="s">
        <v>5</v>
      </c>
      <c r="W1" s="1" t="s">
        <v>153</v>
      </c>
      <c r="X1" s="1" t="s">
        <v>303</v>
      </c>
      <c r="Y1" s="1" t="s">
        <v>154</v>
      </c>
      <c r="Z1" s="4" t="s">
        <v>136</v>
      </c>
      <c r="AA1" s="4" t="s">
        <v>217</v>
      </c>
      <c r="AB1" s="4" t="s">
        <v>137</v>
      </c>
      <c r="AC1" s="4" t="s">
        <v>138</v>
      </c>
      <c r="AD1" s="4" t="s">
        <v>216</v>
      </c>
      <c r="AE1" s="1" t="s">
        <v>155</v>
      </c>
      <c r="AF1" s="1" t="s">
        <v>141</v>
      </c>
      <c r="AG1" s="1" t="s">
        <v>140</v>
      </c>
      <c r="AH1" s="1" t="s">
        <v>200</v>
      </c>
      <c r="AI1" s="1" t="s">
        <v>139</v>
      </c>
      <c r="AJ1" s="1" t="s">
        <v>267</v>
      </c>
      <c r="AK1" s="1" t="s">
        <v>148</v>
      </c>
      <c r="AL1" s="1" t="s">
        <v>144</v>
      </c>
      <c r="AM1" s="1" t="s">
        <v>278</v>
      </c>
      <c r="AN1" s="1" t="s">
        <v>335</v>
      </c>
      <c r="AO1" s="1" t="s">
        <v>334</v>
      </c>
      <c r="AP1" s="1" t="s">
        <v>159</v>
      </c>
      <c r="AQ1" s="1" t="s">
        <v>266</v>
      </c>
      <c r="AR1" s="1" t="s">
        <v>142</v>
      </c>
      <c r="AS1" s="1" t="s">
        <v>336</v>
      </c>
      <c r="AT1" s="1" t="s">
        <v>277</v>
      </c>
      <c r="AU1" s="1" t="s">
        <v>143</v>
      </c>
      <c r="AV1" s="1" t="s">
        <v>147</v>
      </c>
      <c r="AW1" s="1" t="s">
        <v>206</v>
      </c>
      <c r="AX1" s="1" t="s">
        <v>203</v>
      </c>
      <c r="AY1" s="1" t="s">
        <v>145</v>
      </c>
      <c r="AZ1" s="1" t="s">
        <v>276</v>
      </c>
      <c r="BA1" s="1" t="s">
        <v>146</v>
      </c>
      <c r="BB1" s="1" t="s">
        <v>149</v>
      </c>
      <c r="BC1" s="1" t="s">
        <v>156</v>
      </c>
      <c r="BD1" s="1" t="s">
        <v>157</v>
      </c>
      <c r="BE1" s="1" t="s">
        <v>121</v>
      </c>
      <c r="BF1" s="1" t="s">
        <v>187</v>
      </c>
      <c r="BG1" s="1" t="s">
        <v>258</v>
      </c>
      <c r="BH1" s="1" t="s">
        <v>190</v>
      </c>
      <c r="BI1" s="1" t="s">
        <v>263</v>
      </c>
      <c r="BJ1" s="1" t="s">
        <v>191</v>
      </c>
      <c r="BK1" s="1" t="s">
        <v>209</v>
      </c>
      <c r="BL1" s="1" t="s">
        <v>315</v>
      </c>
      <c r="BM1" s="1" t="s">
        <v>316</v>
      </c>
      <c r="BN1" s="1" t="s">
        <v>192</v>
      </c>
      <c r="BO1" s="1" t="s">
        <v>193</v>
      </c>
      <c r="BP1" s="1" t="s">
        <v>196</v>
      </c>
      <c r="BQ1" s="1" t="s">
        <v>198</v>
      </c>
      <c r="BR1" s="1" t="s">
        <v>199</v>
      </c>
      <c r="BS1" s="1" t="s">
        <v>201</v>
      </c>
      <c r="BT1" s="1" t="s">
        <v>202</v>
      </c>
      <c r="BU1" s="1" t="s">
        <v>338</v>
      </c>
      <c r="BV1" s="1" t="s">
        <v>205</v>
      </c>
      <c r="BW1" s="1" t="s">
        <v>214</v>
      </c>
      <c r="BX1" s="1" t="s">
        <v>225</v>
      </c>
      <c r="BY1" s="1" t="s">
        <v>262</v>
      </c>
      <c r="BZ1" s="1" t="s">
        <v>268</v>
      </c>
      <c r="CA1" s="1" t="s">
        <v>273</v>
      </c>
      <c r="CC1" s="1" t="s">
        <v>281</v>
      </c>
      <c r="CE1" s="1" t="s">
        <v>282</v>
      </c>
      <c r="CG1" s="1" t="s">
        <v>284</v>
      </c>
      <c r="CI1" s="1" t="s">
        <v>196</v>
      </c>
      <c r="CK1" s="1" t="s">
        <v>290</v>
      </c>
      <c r="CM1" s="1" t="s">
        <v>298</v>
      </c>
      <c r="CO1" s="1" t="s">
        <v>302</v>
      </c>
      <c r="CQ1" s="1" t="s">
        <v>312</v>
      </c>
      <c r="CR1" s="1" t="s">
        <v>321</v>
      </c>
      <c r="CS1" s="1" t="s">
        <v>332</v>
      </c>
    </row>
    <row r="2" spans="1:97" x14ac:dyDescent="0.25">
      <c r="A2" s="4" t="s">
        <v>6</v>
      </c>
      <c r="B2" s="6"/>
      <c r="C2" s="5"/>
      <c r="D2" s="5"/>
      <c r="E2" s="5"/>
      <c r="F2" s="5"/>
      <c r="G2" s="5"/>
      <c r="H2" s="5"/>
      <c r="I2" s="5"/>
      <c r="J2" s="7"/>
      <c r="K2" s="7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AX2" s="2">
        <v>350</v>
      </c>
    </row>
    <row r="3" spans="1:97" s="35" customFormat="1" ht="12.75" customHeight="1" x14ac:dyDescent="0.25">
      <c r="A3" s="34" t="s">
        <v>11</v>
      </c>
      <c r="B3" s="26">
        <v>2850</v>
      </c>
      <c r="C3" s="26">
        <v>1820</v>
      </c>
      <c r="D3" s="26">
        <v>780</v>
      </c>
      <c r="E3" s="26">
        <v>580</v>
      </c>
      <c r="F3" s="26"/>
      <c r="G3" s="26"/>
      <c r="H3" s="26">
        <v>200</v>
      </c>
      <c r="I3" s="26"/>
      <c r="J3" s="55">
        <v>980</v>
      </c>
      <c r="K3" s="55"/>
      <c r="L3" s="26"/>
      <c r="M3" s="26"/>
      <c r="N3" s="26"/>
      <c r="O3" s="26">
        <v>480</v>
      </c>
      <c r="P3" s="26">
        <v>2850</v>
      </c>
      <c r="Q3" s="26">
        <v>3200</v>
      </c>
      <c r="R3" s="26">
        <v>560</v>
      </c>
      <c r="S3" s="26">
        <v>300</v>
      </c>
      <c r="T3" s="26">
        <v>520</v>
      </c>
      <c r="U3" s="26">
        <v>200</v>
      </c>
      <c r="V3" s="26">
        <v>200</v>
      </c>
      <c r="W3" s="26">
        <v>800</v>
      </c>
      <c r="X3" s="26">
        <v>780</v>
      </c>
      <c r="Y3" s="26">
        <v>1360</v>
      </c>
      <c r="Z3" s="26"/>
      <c r="AA3" s="26"/>
      <c r="AB3" s="26"/>
      <c r="AC3" s="26">
        <f>442.56+13.28</f>
        <v>455.84</v>
      </c>
      <c r="AD3" s="26">
        <v>800</v>
      </c>
      <c r="AE3" s="26">
        <v>600</v>
      </c>
      <c r="AF3" s="26">
        <v>140</v>
      </c>
      <c r="AG3" s="26">
        <v>220</v>
      </c>
      <c r="AH3" s="26"/>
      <c r="AI3" s="26">
        <v>450</v>
      </c>
      <c r="AJ3" s="26">
        <v>850</v>
      </c>
      <c r="AK3" s="26"/>
      <c r="AL3" s="26">
        <v>350</v>
      </c>
      <c r="AM3" s="26"/>
      <c r="AN3" s="26"/>
      <c r="AO3" s="26"/>
      <c r="AP3" s="26"/>
      <c r="AQ3" s="26"/>
      <c r="AR3" s="26">
        <v>180</v>
      </c>
      <c r="AS3" s="26"/>
      <c r="AT3" s="26">
        <v>1800</v>
      </c>
      <c r="AU3" s="26"/>
      <c r="AV3" s="26"/>
      <c r="AW3" s="26">
        <v>480</v>
      </c>
      <c r="AX3" s="26">
        <v>350</v>
      </c>
      <c r="AY3" s="26">
        <f>218.88+6.57</f>
        <v>225.45</v>
      </c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>
        <v>480</v>
      </c>
      <c r="BL3" s="26">
        <v>950</v>
      </c>
      <c r="BM3" s="26">
        <v>850</v>
      </c>
      <c r="BN3" s="26">
        <v>650</v>
      </c>
      <c r="BO3" s="26"/>
      <c r="BP3" s="26">
        <v>3200</v>
      </c>
      <c r="BQ3" s="26">
        <v>960</v>
      </c>
      <c r="BR3" s="26"/>
      <c r="BS3" s="26"/>
      <c r="BT3" s="26"/>
      <c r="BU3" s="26"/>
      <c r="BV3" s="26">
        <v>600</v>
      </c>
      <c r="BW3" s="26">
        <v>1460</v>
      </c>
      <c r="BX3" s="26"/>
      <c r="BY3" s="26">
        <v>1480</v>
      </c>
      <c r="BZ3" s="26"/>
      <c r="CA3" s="26"/>
      <c r="CB3" s="26"/>
      <c r="CC3" s="35">
        <v>260</v>
      </c>
      <c r="CI3" s="35">
        <v>2800</v>
      </c>
      <c r="CK3" s="35">
        <v>350</v>
      </c>
    </row>
    <row r="4" spans="1:97" x14ac:dyDescent="0.25">
      <c r="A4" s="3" t="s">
        <v>197</v>
      </c>
      <c r="B4" s="14">
        <v>1750</v>
      </c>
      <c r="C4" s="14">
        <v>1450</v>
      </c>
      <c r="D4" s="22">
        <v>380</v>
      </c>
      <c r="E4" s="22">
        <v>340</v>
      </c>
      <c r="F4" s="14"/>
      <c r="G4" s="14"/>
      <c r="H4" s="14"/>
      <c r="I4" s="14"/>
      <c r="J4" s="52">
        <v>450</v>
      </c>
      <c r="K4" s="52"/>
      <c r="L4" s="14"/>
      <c r="M4" s="14"/>
      <c r="N4" s="14"/>
      <c r="O4" s="14">
        <v>480</v>
      </c>
      <c r="P4" s="14">
        <v>2850</v>
      </c>
      <c r="Q4" s="14"/>
      <c r="R4" s="14">
        <v>280</v>
      </c>
      <c r="S4" s="14">
        <v>200</v>
      </c>
      <c r="T4" s="14">
        <v>350</v>
      </c>
      <c r="U4" s="14">
        <v>200</v>
      </c>
      <c r="V4" s="14">
        <v>150</v>
      </c>
      <c r="W4" s="14">
        <v>480</v>
      </c>
      <c r="X4" s="14"/>
      <c r="Y4" s="14">
        <v>1360</v>
      </c>
      <c r="Z4" s="14"/>
      <c r="AA4" s="14"/>
      <c r="AB4" s="14"/>
      <c r="AC4" s="14">
        <f>442.56+13.28</f>
        <v>455.84</v>
      </c>
      <c r="AD4" s="14"/>
      <c r="AE4" s="19">
        <v>400</v>
      </c>
      <c r="AF4" s="14">
        <v>70</v>
      </c>
      <c r="AG4" s="14">
        <v>110</v>
      </c>
      <c r="AH4" s="14"/>
      <c r="AI4" s="14">
        <v>350</v>
      </c>
      <c r="AJ4" s="14"/>
      <c r="AK4" s="14"/>
      <c r="AL4" s="14">
        <v>420</v>
      </c>
      <c r="AM4" s="14"/>
      <c r="AN4" s="14"/>
      <c r="AO4" s="14"/>
      <c r="AP4" s="14"/>
      <c r="AQ4" s="14"/>
      <c r="AR4" s="14">
        <v>225</v>
      </c>
      <c r="AS4" s="14"/>
      <c r="AT4" s="14"/>
      <c r="AU4" s="14"/>
      <c r="AV4" s="14">
        <v>560</v>
      </c>
      <c r="AW4" s="14"/>
      <c r="AX4" s="14"/>
      <c r="AY4" s="14">
        <f>218.88+6.57</f>
        <v>225.45</v>
      </c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>
        <v>600</v>
      </c>
      <c r="BM4" s="14">
        <v>250</v>
      </c>
      <c r="BN4" s="14">
        <v>150</v>
      </c>
      <c r="BO4" s="14"/>
      <c r="BP4" s="14"/>
      <c r="BQ4" s="14">
        <v>845</v>
      </c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</row>
    <row r="5" spans="1:97" s="35" customFormat="1" x14ac:dyDescent="0.25">
      <c r="A5" s="34" t="s">
        <v>12</v>
      </c>
      <c r="B5" s="26">
        <v>2350</v>
      </c>
      <c r="C5" s="26">
        <v>1820</v>
      </c>
      <c r="D5" s="26">
        <v>780</v>
      </c>
      <c r="E5" s="26">
        <v>580</v>
      </c>
      <c r="F5" s="26"/>
      <c r="G5" s="26"/>
      <c r="H5" s="26"/>
      <c r="I5" s="26"/>
      <c r="J5" s="55">
        <v>980</v>
      </c>
      <c r="K5" s="55"/>
      <c r="L5" s="26"/>
      <c r="M5" s="26"/>
      <c r="N5" s="26"/>
      <c r="O5" s="26">
        <v>480</v>
      </c>
      <c r="P5" s="26"/>
      <c r="Q5" s="26">
        <v>750</v>
      </c>
      <c r="R5" s="26">
        <v>320</v>
      </c>
      <c r="S5" s="26">
        <v>250</v>
      </c>
      <c r="T5" s="26">
        <v>580</v>
      </c>
      <c r="U5" s="26">
        <v>320</v>
      </c>
      <c r="V5" s="26">
        <v>200</v>
      </c>
      <c r="W5" s="26">
        <v>680</v>
      </c>
      <c r="X5" s="26"/>
      <c r="Y5" s="26">
        <v>1120</v>
      </c>
      <c r="Z5" s="26">
        <v>500</v>
      </c>
      <c r="AA5" s="26"/>
      <c r="AB5" s="26"/>
      <c r="AC5" s="26">
        <v>960</v>
      </c>
      <c r="AD5" s="26"/>
      <c r="AE5" s="26">
        <v>600</v>
      </c>
      <c r="AF5" s="26">
        <v>140</v>
      </c>
      <c r="AG5" s="28">
        <v>220</v>
      </c>
      <c r="AH5" s="26">
        <v>180</v>
      </c>
      <c r="AI5" s="26">
        <v>350</v>
      </c>
      <c r="AJ5" s="26"/>
      <c r="AK5" s="26"/>
      <c r="AL5" s="26"/>
      <c r="AM5" s="26">
        <v>780</v>
      </c>
      <c r="AN5" s="26"/>
      <c r="AO5" s="26"/>
      <c r="AP5" s="26"/>
      <c r="AQ5" s="26"/>
      <c r="AR5" s="26">
        <v>330</v>
      </c>
      <c r="AS5" s="26"/>
      <c r="AT5" s="26"/>
      <c r="AU5" s="26"/>
      <c r="AV5" s="26"/>
      <c r="AW5" s="26"/>
      <c r="AX5" s="26">
        <v>450</v>
      </c>
      <c r="AY5" s="26">
        <v>225.45</v>
      </c>
      <c r="AZ5" s="26"/>
      <c r="BA5" s="26"/>
      <c r="BB5" s="26"/>
      <c r="BC5" s="26"/>
      <c r="BD5" s="26"/>
      <c r="BE5" s="26">
        <v>460</v>
      </c>
      <c r="BF5" s="26"/>
      <c r="BG5" s="26"/>
      <c r="BH5" s="26">
        <v>550</v>
      </c>
      <c r="BI5" s="26"/>
      <c r="BJ5" s="26">
        <v>370</v>
      </c>
      <c r="BK5" s="26"/>
      <c r="BL5" s="26">
        <v>600</v>
      </c>
      <c r="BM5" s="26">
        <v>250</v>
      </c>
      <c r="BN5" s="26"/>
      <c r="BO5" s="26"/>
      <c r="BP5" s="26">
        <v>2600</v>
      </c>
      <c r="BQ5" s="26"/>
      <c r="BR5" s="26"/>
      <c r="BS5" s="26">
        <v>450</v>
      </c>
      <c r="BT5" s="26">
        <v>450</v>
      </c>
      <c r="BU5" s="26"/>
      <c r="BV5" s="26"/>
      <c r="BW5" s="26"/>
      <c r="BX5" s="26"/>
      <c r="BY5" s="26"/>
      <c r="BZ5" s="26"/>
      <c r="CA5" s="26"/>
      <c r="CB5" s="26"/>
      <c r="CK5" s="35">
        <v>350</v>
      </c>
      <c r="CR5" s="35" t="s">
        <v>322</v>
      </c>
    </row>
    <row r="6" spans="1:97" s="38" customFormat="1" x14ac:dyDescent="0.25">
      <c r="A6" s="36" t="s">
        <v>13</v>
      </c>
      <c r="B6" s="37">
        <v>1820</v>
      </c>
      <c r="C6" s="37">
        <v>1480</v>
      </c>
      <c r="D6" s="37">
        <v>780</v>
      </c>
      <c r="E6" s="37">
        <v>580</v>
      </c>
      <c r="F6" s="37"/>
      <c r="G6" s="37"/>
      <c r="H6" s="37"/>
      <c r="I6" s="37"/>
      <c r="J6" s="56"/>
      <c r="K6" s="5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>
        <v>600</v>
      </c>
      <c r="AF6" s="37">
        <v>140</v>
      </c>
      <c r="AG6" s="37">
        <v>220</v>
      </c>
      <c r="AH6" s="37">
        <v>180</v>
      </c>
      <c r="AI6" s="37">
        <v>350</v>
      </c>
      <c r="AJ6" s="37"/>
      <c r="AK6" s="37"/>
      <c r="AL6" s="37">
        <v>350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>
        <v>600</v>
      </c>
      <c r="BM6" s="37"/>
      <c r="BN6" s="37">
        <v>380</v>
      </c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</row>
    <row r="7" spans="1:97" x14ac:dyDescent="0.25">
      <c r="A7" s="3" t="s">
        <v>23</v>
      </c>
      <c r="B7" s="14">
        <v>2260</v>
      </c>
      <c r="C7" s="14">
        <v>1800</v>
      </c>
      <c r="D7" s="14">
        <v>480</v>
      </c>
      <c r="E7" s="14">
        <v>350</v>
      </c>
      <c r="F7" s="14"/>
      <c r="G7" s="14"/>
      <c r="H7" s="14"/>
      <c r="I7" s="14"/>
      <c r="J7" s="52">
        <v>760</v>
      </c>
      <c r="K7" s="52"/>
      <c r="L7" s="14"/>
      <c r="M7" s="14"/>
      <c r="N7" s="14">
        <v>860</v>
      </c>
      <c r="O7" s="14">
        <v>585</v>
      </c>
      <c r="P7" s="14"/>
      <c r="Q7" s="14"/>
      <c r="R7" s="14">
        <v>340</v>
      </c>
      <c r="S7" s="14"/>
      <c r="T7" s="14">
        <v>450</v>
      </c>
      <c r="U7" s="14">
        <v>320</v>
      </c>
      <c r="V7" s="14">
        <v>150</v>
      </c>
      <c r="W7" s="14">
        <v>1180</v>
      </c>
      <c r="X7" s="14"/>
      <c r="Y7" s="14"/>
      <c r="Z7" s="14"/>
      <c r="AA7" s="14"/>
      <c r="AB7" s="14"/>
      <c r="AC7" s="14">
        <v>920</v>
      </c>
      <c r="AD7" s="14"/>
      <c r="AE7" s="19">
        <v>400</v>
      </c>
      <c r="AF7" s="14">
        <v>70</v>
      </c>
      <c r="AG7" s="14">
        <v>120</v>
      </c>
      <c r="AH7" s="14"/>
      <c r="AI7" s="14">
        <v>460</v>
      </c>
      <c r="AJ7" s="14"/>
      <c r="AK7" s="14"/>
      <c r="AL7" s="14">
        <v>350</v>
      </c>
      <c r="AM7" s="14"/>
      <c r="AN7" s="14"/>
      <c r="AO7" s="14"/>
      <c r="AP7" s="14"/>
      <c r="AQ7" s="14"/>
      <c r="AR7" s="14"/>
      <c r="AS7" s="14"/>
      <c r="AT7" s="14"/>
      <c r="AU7" s="14">
        <v>480</v>
      </c>
      <c r="AV7" s="14">
        <v>560</v>
      </c>
      <c r="AW7" s="14"/>
      <c r="AX7" s="14"/>
      <c r="AY7" s="14">
        <v>340</v>
      </c>
      <c r="AZ7" s="14"/>
      <c r="BA7" s="14"/>
      <c r="BB7" s="14">
        <v>920</v>
      </c>
      <c r="BC7" s="14">
        <v>1260</v>
      </c>
      <c r="BD7" s="14">
        <v>1340</v>
      </c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</row>
    <row r="8" spans="1:97" s="38" customFormat="1" ht="22.5" customHeight="1" x14ac:dyDescent="0.25">
      <c r="A8" s="36" t="s">
        <v>14</v>
      </c>
      <c r="B8" s="49">
        <v>3820</v>
      </c>
      <c r="C8" s="49">
        <v>1760</v>
      </c>
      <c r="D8" s="49">
        <v>1280</v>
      </c>
      <c r="E8" s="49">
        <v>740</v>
      </c>
      <c r="F8" s="49"/>
      <c r="G8" s="49"/>
      <c r="H8" s="47">
        <v>400</v>
      </c>
      <c r="I8" s="49">
        <v>400</v>
      </c>
      <c r="J8" s="49">
        <v>760</v>
      </c>
      <c r="K8" s="49">
        <v>980</v>
      </c>
      <c r="L8" s="49"/>
      <c r="M8" s="49"/>
      <c r="N8" s="49">
        <v>780</v>
      </c>
      <c r="O8" s="49">
        <v>540</v>
      </c>
      <c r="P8" s="49"/>
      <c r="Q8" s="49"/>
      <c r="R8" s="49">
        <v>480</v>
      </c>
      <c r="S8" s="49"/>
      <c r="T8" s="49">
        <v>450</v>
      </c>
      <c r="U8" s="49">
        <v>320</v>
      </c>
      <c r="V8" s="49">
        <v>200</v>
      </c>
      <c r="W8" s="49">
        <v>2100</v>
      </c>
      <c r="X8" s="49"/>
      <c r="Y8" s="49"/>
      <c r="Z8" s="49"/>
      <c r="AA8" s="49"/>
      <c r="AB8" s="49">
        <v>3800</v>
      </c>
      <c r="AC8" s="49">
        <v>1450</v>
      </c>
      <c r="AD8" s="49"/>
      <c r="AE8" s="49">
        <v>700</v>
      </c>
      <c r="AF8" s="49">
        <v>160</v>
      </c>
      <c r="AG8" s="49">
        <v>340</v>
      </c>
      <c r="AH8" s="49"/>
      <c r="AI8" s="49">
        <v>850</v>
      </c>
      <c r="AJ8" s="49"/>
      <c r="AK8" s="49"/>
      <c r="AL8" s="49"/>
      <c r="AM8" s="49"/>
      <c r="AN8" s="49"/>
      <c r="AO8" s="49"/>
      <c r="AP8" s="49">
        <v>260</v>
      </c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>
        <v>680</v>
      </c>
      <c r="BU8" s="49"/>
      <c r="BV8" s="49"/>
      <c r="BW8" s="49"/>
      <c r="BX8" s="49"/>
      <c r="BY8" s="49"/>
      <c r="BZ8" s="49"/>
      <c r="CA8" s="49"/>
      <c r="CB8" s="49"/>
    </row>
    <row r="9" spans="1:97" s="35" customFormat="1" x14ac:dyDescent="0.25">
      <c r="A9" s="34" t="s">
        <v>15</v>
      </c>
      <c r="B9" s="26">
        <v>4800</v>
      </c>
      <c r="C9" s="26">
        <v>2850</v>
      </c>
      <c r="D9" s="26">
        <v>1280</v>
      </c>
      <c r="E9" s="26">
        <v>740</v>
      </c>
      <c r="F9" s="26"/>
      <c r="G9" s="26"/>
      <c r="H9" s="28">
        <v>400</v>
      </c>
      <c r="I9" s="26">
        <v>1260</v>
      </c>
      <c r="J9" s="26">
        <v>950</v>
      </c>
      <c r="K9" s="26">
        <v>1380</v>
      </c>
      <c r="L9" s="26"/>
      <c r="M9" s="26"/>
      <c r="N9" s="26">
        <v>750</v>
      </c>
      <c r="O9" s="26">
        <v>540</v>
      </c>
      <c r="P9" s="26"/>
      <c r="Q9" s="26"/>
      <c r="R9" s="26">
        <v>480</v>
      </c>
      <c r="S9" s="26"/>
      <c r="T9" s="26">
        <v>640</v>
      </c>
      <c r="U9" s="26">
        <v>450</v>
      </c>
      <c r="V9" s="26">
        <v>200</v>
      </c>
      <c r="W9" s="26">
        <v>1320</v>
      </c>
      <c r="X9" s="26"/>
      <c r="Y9" s="26"/>
      <c r="Z9" s="26"/>
      <c r="AA9" s="26"/>
      <c r="AB9" s="26"/>
      <c r="AC9" s="26">
        <v>1450</v>
      </c>
      <c r="AD9" s="26"/>
      <c r="AE9" s="26">
        <v>700</v>
      </c>
      <c r="AF9" s="26">
        <v>160</v>
      </c>
      <c r="AG9" s="26">
        <v>340</v>
      </c>
      <c r="AH9" s="26">
        <v>180</v>
      </c>
      <c r="AI9" s="26">
        <v>1120</v>
      </c>
      <c r="AJ9" s="26">
        <v>3200</v>
      </c>
      <c r="AK9" s="26">
        <v>240</v>
      </c>
      <c r="AL9" s="26">
        <v>280</v>
      </c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</row>
    <row r="10" spans="1:97" ht="14.25" customHeight="1" x14ac:dyDescent="0.25">
      <c r="A10" s="3" t="s">
        <v>19</v>
      </c>
      <c r="B10" s="19">
        <v>3820</v>
      </c>
      <c r="C10" s="14">
        <v>2360</v>
      </c>
      <c r="D10" s="22">
        <v>880</v>
      </c>
      <c r="E10" s="22">
        <v>580</v>
      </c>
      <c r="F10" s="14"/>
      <c r="G10" s="14"/>
      <c r="H10" s="14"/>
      <c r="I10" s="14"/>
      <c r="J10" s="14">
        <v>760</v>
      </c>
      <c r="K10" s="14">
        <v>980</v>
      </c>
      <c r="L10" s="14"/>
      <c r="M10" s="14"/>
      <c r="N10" s="14">
        <v>750</v>
      </c>
      <c r="O10" s="14">
        <v>540</v>
      </c>
      <c r="P10" s="14"/>
      <c r="Q10" s="14"/>
      <c r="R10" s="14">
        <v>480</v>
      </c>
      <c r="S10" s="14"/>
      <c r="T10" s="14">
        <v>450</v>
      </c>
      <c r="U10" s="14">
        <v>320</v>
      </c>
      <c r="V10" s="14">
        <v>200</v>
      </c>
      <c r="W10" s="14">
        <v>1320</v>
      </c>
      <c r="X10" s="14"/>
      <c r="Y10" s="14"/>
      <c r="Z10" s="14"/>
      <c r="AA10" s="14"/>
      <c r="AB10" s="14"/>
      <c r="AC10" s="22">
        <v>1450</v>
      </c>
      <c r="AD10" s="14"/>
      <c r="AE10" s="22">
        <v>500</v>
      </c>
      <c r="AF10" s="22">
        <v>110</v>
      </c>
      <c r="AG10" s="22">
        <v>220</v>
      </c>
      <c r="AH10" s="22"/>
      <c r="AI10" s="22">
        <v>850</v>
      </c>
      <c r="AJ10" s="14"/>
      <c r="AK10" s="14">
        <v>240</v>
      </c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</row>
    <row r="11" spans="1:97" s="35" customFormat="1" ht="15.75" customHeight="1" x14ac:dyDescent="0.25">
      <c r="A11" s="34" t="s">
        <v>158</v>
      </c>
      <c r="B11" s="26">
        <v>4680</v>
      </c>
      <c r="C11" s="26">
        <v>2820</v>
      </c>
      <c r="D11" s="26">
        <v>1280</v>
      </c>
      <c r="E11" s="26">
        <v>740</v>
      </c>
      <c r="F11" s="26"/>
      <c r="G11" s="26"/>
      <c r="H11" s="26"/>
      <c r="I11" s="26"/>
      <c r="J11" s="26">
        <v>980</v>
      </c>
      <c r="K11" s="26">
        <v>1350</v>
      </c>
      <c r="L11" s="26"/>
      <c r="M11" s="26"/>
      <c r="N11" s="26"/>
      <c r="O11" s="26">
        <v>540</v>
      </c>
      <c r="P11" s="26"/>
      <c r="Q11" s="26"/>
      <c r="R11" s="26">
        <v>1200</v>
      </c>
      <c r="S11" s="26"/>
      <c r="T11" s="28">
        <v>680</v>
      </c>
      <c r="U11" s="26">
        <v>320</v>
      </c>
      <c r="V11" s="26">
        <v>200</v>
      </c>
      <c r="W11" s="26">
        <v>1320</v>
      </c>
      <c r="X11" s="26"/>
      <c r="Y11" s="26"/>
      <c r="Z11" s="26"/>
      <c r="AA11" s="26"/>
      <c r="AB11" s="26"/>
      <c r="AC11" s="26">
        <v>1450</v>
      </c>
      <c r="AD11" s="26"/>
      <c r="AE11" s="26">
        <v>700</v>
      </c>
      <c r="AF11" s="26">
        <v>160</v>
      </c>
      <c r="AG11" s="26">
        <v>340</v>
      </c>
      <c r="AH11" s="26">
        <v>180</v>
      </c>
      <c r="AI11" s="26">
        <v>850</v>
      </c>
      <c r="AJ11" s="26"/>
      <c r="AK11" s="26">
        <v>240</v>
      </c>
      <c r="AL11" s="26">
        <v>450</v>
      </c>
      <c r="AM11" s="26"/>
      <c r="AN11" s="26">
        <v>5800</v>
      </c>
      <c r="AO11" s="26"/>
      <c r="AP11" s="26">
        <v>640</v>
      </c>
      <c r="AQ11" s="26"/>
      <c r="AR11" s="26"/>
      <c r="AS11" s="26">
        <v>15000</v>
      </c>
      <c r="AT11" s="26"/>
      <c r="AU11" s="26">
        <v>460</v>
      </c>
      <c r="AV11" s="26">
        <v>580</v>
      </c>
      <c r="AW11" s="26"/>
      <c r="AX11" s="26"/>
      <c r="AY11" s="26">
        <v>420</v>
      </c>
      <c r="AZ11" s="26"/>
      <c r="BA11" s="26"/>
      <c r="BB11" s="26">
        <v>1130</v>
      </c>
      <c r="BC11" s="26">
        <v>1280</v>
      </c>
      <c r="BD11" s="26">
        <v>1640</v>
      </c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>
        <v>2800</v>
      </c>
      <c r="BV11" s="26"/>
      <c r="BW11" s="26"/>
      <c r="BX11" s="26"/>
      <c r="BY11" s="26"/>
      <c r="BZ11" s="26"/>
      <c r="CA11" s="26"/>
      <c r="CB11" s="26"/>
    </row>
    <row r="12" spans="1:97" x14ac:dyDescent="0.25">
      <c r="A12" s="3" t="s">
        <v>195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>
        <v>2050</v>
      </c>
      <c r="BQ12" s="14"/>
      <c r="BR12" s="14">
        <v>1550</v>
      </c>
      <c r="BS12" s="14"/>
      <c r="BT12" s="14"/>
      <c r="BU12" s="14"/>
      <c r="BV12" s="14"/>
      <c r="BW12" s="14"/>
      <c r="BX12" s="14"/>
      <c r="BY12" s="14"/>
      <c r="BZ12" s="14"/>
      <c r="CA12" s="14"/>
      <c r="CB12" s="14"/>
    </row>
    <row r="13" spans="1:97" s="20" customFormat="1" ht="14.25" customHeight="1" x14ac:dyDescent="0.25">
      <c r="A13" s="18" t="s">
        <v>16</v>
      </c>
      <c r="B13" s="22">
        <v>3680</v>
      </c>
      <c r="C13" s="22">
        <v>1850</v>
      </c>
      <c r="D13" s="22">
        <v>620</v>
      </c>
      <c r="E13" s="22">
        <v>520</v>
      </c>
      <c r="F13" s="19"/>
      <c r="G13" s="19"/>
      <c r="H13" s="19"/>
      <c r="I13" s="19"/>
      <c r="J13" s="53">
        <v>980</v>
      </c>
      <c r="K13" s="53"/>
      <c r="L13" s="19"/>
      <c r="M13" s="19"/>
      <c r="N13" s="19">
        <v>750</v>
      </c>
      <c r="O13" s="19">
        <v>490</v>
      </c>
      <c r="P13" s="19"/>
      <c r="Q13" s="22">
        <v>1850</v>
      </c>
      <c r="R13" s="19">
        <v>300</v>
      </c>
      <c r="S13" s="19">
        <v>200</v>
      </c>
      <c r="T13" s="22">
        <v>680</v>
      </c>
      <c r="U13" s="19">
        <v>250</v>
      </c>
      <c r="V13" s="19">
        <v>200</v>
      </c>
      <c r="W13" s="19">
        <v>780</v>
      </c>
      <c r="X13" s="19">
        <v>1230</v>
      </c>
      <c r="Y13" s="19"/>
      <c r="Z13" s="19"/>
      <c r="AA13" s="19"/>
      <c r="AB13" s="19"/>
      <c r="AC13" s="19">
        <v>650</v>
      </c>
      <c r="AD13" s="19">
        <v>680</v>
      </c>
      <c r="AE13" s="22">
        <v>600</v>
      </c>
      <c r="AF13" s="22">
        <v>90</v>
      </c>
      <c r="AG13" s="22">
        <v>280</v>
      </c>
      <c r="AH13" s="19"/>
      <c r="AI13" s="22">
        <v>750</v>
      </c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>
        <v>330</v>
      </c>
      <c r="AY13" s="19"/>
      <c r="AZ13" s="19"/>
      <c r="BA13" s="19"/>
      <c r="BB13" s="19"/>
      <c r="BC13" s="19"/>
      <c r="BD13" s="19">
        <v>1200</v>
      </c>
      <c r="BE13" s="19"/>
      <c r="BF13" s="19"/>
      <c r="BG13" s="19"/>
      <c r="BH13" s="19"/>
      <c r="BI13" s="19">
        <v>950</v>
      </c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G13" s="20">
        <v>680</v>
      </c>
    </row>
    <row r="14" spans="1:97" x14ac:dyDescent="0.25">
      <c r="A14" s="3" t="s">
        <v>17</v>
      </c>
      <c r="B14" s="14">
        <v>1850</v>
      </c>
      <c r="C14" s="14"/>
      <c r="D14" s="14"/>
      <c r="E14" s="14"/>
      <c r="F14" s="14"/>
      <c r="G14" s="14"/>
      <c r="H14" s="14"/>
      <c r="I14" s="14"/>
      <c r="J14" s="52">
        <v>750</v>
      </c>
      <c r="K14" s="52"/>
      <c r="L14" s="14"/>
      <c r="M14" s="14"/>
      <c r="N14" s="14"/>
      <c r="O14" s="14">
        <v>650</v>
      </c>
      <c r="P14" s="14"/>
      <c r="Q14" s="14"/>
      <c r="R14" s="14">
        <v>300</v>
      </c>
      <c r="S14" s="14"/>
      <c r="T14" s="14">
        <v>380</v>
      </c>
      <c r="U14" s="14"/>
      <c r="V14" s="14">
        <v>200</v>
      </c>
      <c r="W14" s="14">
        <v>240</v>
      </c>
      <c r="X14" s="14"/>
      <c r="Y14" s="14"/>
      <c r="Z14" s="14"/>
      <c r="AA14" s="14"/>
      <c r="AB14" s="14"/>
      <c r="AC14" s="14"/>
      <c r="AD14" s="14"/>
      <c r="AE14" s="26">
        <v>600</v>
      </c>
      <c r="AF14" s="26">
        <v>140</v>
      </c>
      <c r="AG14" s="26">
        <v>220</v>
      </c>
      <c r="AH14" s="14"/>
      <c r="AI14" s="14">
        <v>350</v>
      </c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 t="s">
        <v>291</v>
      </c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>
        <v>960</v>
      </c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2">
        <v>260</v>
      </c>
    </row>
    <row r="15" spans="1:97" s="20" customFormat="1" x14ac:dyDescent="0.25">
      <c r="A15" s="18"/>
      <c r="B15" s="19">
        <v>2260</v>
      </c>
      <c r="C15" s="19">
        <v>2140</v>
      </c>
      <c r="D15" s="22">
        <v>880</v>
      </c>
      <c r="E15" s="22">
        <v>580</v>
      </c>
      <c r="F15" s="19"/>
      <c r="G15" s="19"/>
      <c r="H15" s="19">
        <v>1380</v>
      </c>
      <c r="I15" s="19"/>
      <c r="J15" s="21">
        <v>760</v>
      </c>
      <c r="K15" s="21">
        <v>550</v>
      </c>
      <c r="L15" s="19"/>
      <c r="M15" s="19"/>
      <c r="N15" s="19">
        <v>965</v>
      </c>
      <c r="O15" s="19">
        <v>585</v>
      </c>
      <c r="P15" s="19"/>
      <c r="Q15" s="19"/>
      <c r="R15" s="19">
        <v>340</v>
      </c>
      <c r="S15" s="19"/>
      <c r="T15" s="22">
        <v>680</v>
      </c>
      <c r="U15" s="19">
        <v>320</v>
      </c>
      <c r="V15" s="19">
        <v>150</v>
      </c>
      <c r="W15" s="19">
        <v>1180</v>
      </c>
      <c r="X15" s="19"/>
      <c r="Y15" s="19"/>
      <c r="Z15" s="19"/>
      <c r="AA15" s="19"/>
      <c r="AB15" s="19"/>
      <c r="AC15" s="19">
        <v>920</v>
      </c>
      <c r="AD15" s="19"/>
      <c r="AE15" s="26">
        <v>700</v>
      </c>
      <c r="AF15" s="26">
        <v>160</v>
      </c>
      <c r="AG15" s="26">
        <v>340</v>
      </c>
      <c r="AH15" s="22">
        <v>180</v>
      </c>
      <c r="AI15" s="19">
        <v>460</v>
      </c>
      <c r="AJ15" s="19"/>
      <c r="AK15" s="22">
        <v>260</v>
      </c>
      <c r="AL15" s="19">
        <v>350</v>
      </c>
      <c r="AM15" s="19"/>
      <c r="AN15" s="19"/>
      <c r="AO15" s="19"/>
      <c r="AP15" s="19"/>
      <c r="AQ15" s="19"/>
      <c r="AR15" s="19"/>
      <c r="AS15" s="19"/>
      <c r="AT15" s="19"/>
      <c r="AU15" s="19">
        <v>480</v>
      </c>
      <c r="AV15" s="19">
        <v>560</v>
      </c>
      <c r="AW15" s="19"/>
      <c r="AX15" s="19"/>
      <c r="AY15" s="19">
        <v>340</v>
      </c>
      <c r="AZ15" s="19"/>
      <c r="BA15" s="19"/>
      <c r="BB15" s="19">
        <v>920</v>
      </c>
      <c r="BC15" s="19">
        <v>1260</v>
      </c>
      <c r="BD15" s="19">
        <v>1340</v>
      </c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>
        <v>2280</v>
      </c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</row>
    <row r="16" spans="1:97" x14ac:dyDescent="0.25">
      <c r="A16" s="3" t="s">
        <v>301</v>
      </c>
      <c r="B16" s="22">
        <v>4280</v>
      </c>
      <c r="C16" s="14"/>
      <c r="D16" s="22">
        <v>880</v>
      </c>
      <c r="E16" s="22">
        <v>580</v>
      </c>
      <c r="F16" s="14"/>
      <c r="G16" s="14"/>
      <c r="H16" s="22">
        <v>400</v>
      </c>
      <c r="I16" s="14"/>
      <c r="J16" s="22">
        <v>950</v>
      </c>
      <c r="K16" s="22">
        <v>1380</v>
      </c>
      <c r="L16" s="14"/>
      <c r="M16" s="14"/>
      <c r="N16" s="14">
        <v>620</v>
      </c>
      <c r="O16" s="14"/>
      <c r="P16" s="14"/>
      <c r="Q16" s="14"/>
      <c r="R16" s="14"/>
      <c r="S16" s="14"/>
      <c r="T16" s="22">
        <v>680</v>
      </c>
      <c r="U16" s="14"/>
      <c r="V16" s="22">
        <v>300</v>
      </c>
      <c r="W16" s="14"/>
      <c r="X16" s="14"/>
      <c r="Y16" s="14"/>
      <c r="Z16" s="14"/>
      <c r="AA16" s="14"/>
      <c r="AB16" s="14"/>
      <c r="AC16" s="14"/>
      <c r="AD16" s="14"/>
      <c r="AE16" s="22">
        <v>600</v>
      </c>
      <c r="AF16" s="22">
        <v>100</v>
      </c>
      <c r="AG16" s="23">
        <v>180</v>
      </c>
      <c r="AH16" s="22">
        <v>180</v>
      </c>
      <c r="AI16" s="14"/>
      <c r="AJ16" s="14"/>
      <c r="AK16" s="14"/>
      <c r="AL16" s="14"/>
      <c r="AM16" s="14"/>
      <c r="AN16" s="14"/>
      <c r="AO16" s="14"/>
      <c r="AP16" s="14">
        <v>300</v>
      </c>
      <c r="AQ16" s="14"/>
      <c r="AR16" s="14"/>
      <c r="AS16" s="14"/>
      <c r="AT16" s="14"/>
      <c r="AU16" s="14"/>
      <c r="AV16" s="14"/>
      <c r="AW16" s="14"/>
      <c r="AX16" s="14"/>
      <c r="AY16" s="14">
        <v>680</v>
      </c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</row>
    <row r="17" spans="1:80" s="38" customFormat="1" ht="16.5" customHeight="1" x14ac:dyDescent="0.25">
      <c r="A17" s="36" t="s">
        <v>110</v>
      </c>
      <c r="B17" s="37">
        <v>3820</v>
      </c>
      <c r="C17" s="37">
        <v>2160</v>
      </c>
      <c r="D17" s="37">
        <v>1160</v>
      </c>
      <c r="E17" s="37">
        <v>680</v>
      </c>
      <c r="F17" s="37"/>
      <c r="G17" s="37"/>
      <c r="H17" s="37"/>
      <c r="I17" s="37"/>
      <c r="J17" s="39"/>
      <c r="K17" s="39">
        <v>980</v>
      </c>
      <c r="L17" s="37"/>
      <c r="M17" s="37"/>
      <c r="N17" s="37">
        <v>965</v>
      </c>
      <c r="O17" s="37">
        <v>585</v>
      </c>
      <c r="P17" s="37"/>
      <c r="Q17" s="47">
        <v>890</v>
      </c>
      <c r="R17" s="37">
        <v>350</v>
      </c>
      <c r="S17" s="37"/>
      <c r="T17" s="37">
        <v>650</v>
      </c>
      <c r="U17" s="37">
        <v>420</v>
      </c>
      <c r="V17" s="37">
        <v>300</v>
      </c>
      <c r="W17" s="37" t="s">
        <v>323</v>
      </c>
      <c r="X17" s="37"/>
      <c r="Y17" s="37">
        <v>1360</v>
      </c>
      <c r="Z17" s="37">
        <v>550</v>
      </c>
      <c r="AA17" s="37"/>
      <c r="AB17" s="37"/>
      <c r="AC17" s="37">
        <v>920</v>
      </c>
      <c r="AD17" s="37"/>
      <c r="AE17" s="37">
        <v>500</v>
      </c>
      <c r="AF17" s="37">
        <v>110</v>
      </c>
      <c r="AG17" s="37">
        <v>280</v>
      </c>
      <c r="AH17" s="37"/>
      <c r="AI17" s="37">
        <v>1200</v>
      </c>
      <c r="AJ17" s="37">
        <v>1150</v>
      </c>
      <c r="AK17" s="37"/>
      <c r="AL17" s="37">
        <v>350</v>
      </c>
      <c r="AM17" s="37"/>
      <c r="AN17" s="37"/>
      <c r="AO17" s="37"/>
      <c r="AP17" s="37">
        <v>85</v>
      </c>
      <c r="AQ17" s="37"/>
      <c r="AR17" s="37"/>
      <c r="AS17" s="37"/>
      <c r="AT17" s="37"/>
      <c r="AU17" s="37">
        <v>480</v>
      </c>
      <c r="AV17" s="37">
        <v>560</v>
      </c>
      <c r="AW17" s="37"/>
      <c r="AX17" s="37">
        <v>580</v>
      </c>
      <c r="AY17" s="37">
        <v>340</v>
      </c>
      <c r="AZ17" s="37"/>
      <c r="BA17" s="37"/>
      <c r="BB17" s="37">
        <v>920</v>
      </c>
      <c r="BC17" s="37">
        <v>1260</v>
      </c>
      <c r="BD17" s="37">
        <v>1340</v>
      </c>
      <c r="BE17" s="37"/>
      <c r="BF17" s="37"/>
      <c r="BG17" s="37">
        <v>1280</v>
      </c>
      <c r="BH17" s="37"/>
      <c r="BI17" s="37"/>
      <c r="BJ17" s="37"/>
      <c r="BK17" s="37"/>
      <c r="BL17" s="37"/>
      <c r="BM17" s="37"/>
      <c r="BN17" s="37"/>
      <c r="BO17" s="37"/>
      <c r="BP17" s="37"/>
      <c r="BQ17" s="37">
        <v>2850</v>
      </c>
      <c r="BR17" s="37">
        <v>1850</v>
      </c>
      <c r="BS17" s="37"/>
      <c r="BT17" s="37"/>
      <c r="BU17" s="37">
        <v>1850</v>
      </c>
      <c r="BV17" s="37"/>
      <c r="BW17" s="37"/>
      <c r="BX17" s="37"/>
      <c r="BY17" s="37"/>
      <c r="BZ17" s="37"/>
      <c r="CA17" s="37"/>
      <c r="CB17" s="37"/>
    </row>
    <row r="18" spans="1:80" x14ac:dyDescent="0.25">
      <c r="A18" s="3" t="s">
        <v>19</v>
      </c>
      <c r="B18" s="14"/>
      <c r="C18" s="14"/>
      <c r="D18" s="14"/>
      <c r="E18" s="14"/>
      <c r="F18" s="14"/>
      <c r="G18" s="14"/>
      <c r="H18" s="14"/>
      <c r="I18" s="14"/>
      <c r="J18" s="52"/>
      <c r="K18" s="52"/>
      <c r="L18" s="14"/>
      <c r="M18" s="14"/>
      <c r="N18" s="14"/>
      <c r="O18" s="14"/>
      <c r="P18" s="14"/>
      <c r="Q18" s="14">
        <v>4800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27" t="s">
        <v>339</v>
      </c>
      <c r="AF18" s="26">
        <v>160</v>
      </c>
      <c r="AG18" s="26">
        <v>340</v>
      </c>
      <c r="AH18" s="14"/>
      <c r="AI18" s="14"/>
      <c r="AJ18" s="14"/>
      <c r="AK18" s="14"/>
      <c r="AL18" s="14"/>
      <c r="AM18" s="14"/>
      <c r="AN18" s="14"/>
      <c r="AO18" s="14"/>
      <c r="AP18" s="14">
        <v>320</v>
      </c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</row>
    <row r="19" spans="1:80" x14ac:dyDescent="0.25">
      <c r="A19" s="3" t="s">
        <v>20</v>
      </c>
      <c r="B19" s="19">
        <v>3820</v>
      </c>
      <c r="C19" s="14">
        <v>2360</v>
      </c>
      <c r="D19" s="22">
        <v>880</v>
      </c>
      <c r="E19" s="22">
        <v>580</v>
      </c>
      <c r="F19" s="14"/>
      <c r="G19" s="14"/>
      <c r="H19" s="14"/>
      <c r="I19" s="14"/>
      <c r="J19" s="14">
        <v>760</v>
      </c>
      <c r="K19" s="14">
        <v>980</v>
      </c>
      <c r="L19" s="14"/>
      <c r="M19" s="14"/>
      <c r="N19" s="14">
        <v>750</v>
      </c>
      <c r="O19" s="14">
        <v>540</v>
      </c>
      <c r="P19" s="14"/>
      <c r="Q19" s="14"/>
      <c r="R19" s="14">
        <v>480</v>
      </c>
      <c r="S19" s="14"/>
      <c r="T19" s="14">
        <v>450</v>
      </c>
      <c r="U19" s="14"/>
      <c r="V19" s="14">
        <v>200</v>
      </c>
      <c r="W19" s="14">
        <v>1320</v>
      </c>
      <c r="X19" s="14"/>
      <c r="Y19" s="14"/>
      <c r="Z19" s="14"/>
      <c r="AA19" s="14"/>
      <c r="AB19" s="14"/>
      <c r="AC19" s="14">
        <v>1220</v>
      </c>
      <c r="AD19" s="14"/>
      <c r="AE19" s="26">
        <v>700</v>
      </c>
      <c r="AF19" s="26">
        <v>160</v>
      </c>
      <c r="AG19" s="26">
        <v>340</v>
      </c>
      <c r="AH19" s="14"/>
      <c r="AI19" s="14">
        <v>350</v>
      </c>
      <c r="AJ19" s="14"/>
      <c r="AK19" s="14">
        <v>220</v>
      </c>
      <c r="AL19" s="14"/>
      <c r="AM19" s="14"/>
      <c r="AN19" s="14"/>
      <c r="AO19" s="14"/>
      <c r="AP19" s="14">
        <v>50</v>
      </c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</row>
    <row r="20" spans="1:80" x14ac:dyDescent="0.25">
      <c r="A20" s="3" t="s">
        <v>194</v>
      </c>
      <c r="B20" s="14"/>
      <c r="C20" s="14"/>
      <c r="D20" s="22">
        <v>880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>
        <v>1400</v>
      </c>
      <c r="X20" s="14"/>
      <c r="Y20" s="14"/>
      <c r="Z20" s="14"/>
      <c r="AA20" s="14"/>
      <c r="AB20" s="14"/>
      <c r="AC20" s="14"/>
      <c r="AD20" s="14"/>
      <c r="AE20" s="14">
        <v>300</v>
      </c>
      <c r="AF20" s="14">
        <v>70</v>
      </c>
      <c r="AG20" s="14">
        <v>150</v>
      </c>
      <c r="AH20" s="14"/>
      <c r="AI20" s="14"/>
      <c r="AJ20" s="14"/>
      <c r="AK20" s="14">
        <v>120</v>
      </c>
      <c r="AL20" s="14"/>
      <c r="AM20" s="14"/>
      <c r="AN20" s="14"/>
      <c r="AO20" s="14"/>
      <c r="AP20" s="14">
        <v>200</v>
      </c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</row>
    <row r="21" spans="1:80" x14ac:dyDescent="0.25">
      <c r="A21" s="3" t="s">
        <v>22</v>
      </c>
      <c r="B21" s="19">
        <v>3820</v>
      </c>
      <c r="C21" s="14">
        <v>2140</v>
      </c>
      <c r="D21" s="22">
        <v>880</v>
      </c>
      <c r="E21" s="22">
        <v>580</v>
      </c>
      <c r="F21" s="14"/>
      <c r="G21" s="14"/>
      <c r="H21" s="14"/>
      <c r="I21" s="14"/>
      <c r="J21" s="52">
        <v>760</v>
      </c>
      <c r="K21" s="52"/>
      <c r="L21" s="14"/>
      <c r="M21" s="14"/>
      <c r="N21" s="14"/>
      <c r="O21" s="14">
        <v>585</v>
      </c>
      <c r="P21" s="14"/>
      <c r="Q21" s="14"/>
      <c r="R21" s="14">
        <v>340</v>
      </c>
      <c r="S21" s="14"/>
      <c r="T21" s="22">
        <v>650</v>
      </c>
      <c r="U21" s="22">
        <v>420</v>
      </c>
      <c r="V21" s="22">
        <v>250</v>
      </c>
      <c r="W21" s="14">
        <v>1180</v>
      </c>
      <c r="X21" s="14"/>
      <c r="Y21" s="14"/>
      <c r="Z21" s="14"/>
      <c r="AA21" s="14"/>
      <c r="AB21" s="14"/>
      <c r="AC21" s="14">
        <v>920</v>
      </c>
      <c r="AD21" s="14"/>
      <c r="AE21" s="22">
        <v>700</v>
      </c>
      <c r="AF21" s="22">
        <v>110</v>
      </c>
      <c r="AG21" s="22">
        <v>220</v>
      </c>
      <c r="AH21" s="14"/>
      <c r="AI21" s="22">
        <v>750</v>
      </c>
      <c r="AJ21" s="14"/>
      <c r="AK21" s="14">
        <v>220</v>
      </c>
      <c r="AL21" s="14">
        <v>350</v>
      </c>
      <c r="AM21" s="14"/>
      <c r="AN21" s="14"/>
      <c r="AO21" s="14"/>
      <c r="AP21" s="14"/>
      <c r="AQ21" s="14"/>
      <c r="AR21" s="14"/>
      <c r="AS21" s="14"/>
      <c r="AT21" s="14"/>
      <c r="AU21" s="14">
        <v>480</v>
      </c>
      <c r="AV21" s="14">
        <v>560</v>
      </c>
      <c r="AW21" s="14"/>
      <c r="AX21" s="14"/>
      <c r="AY21" s="14">
        <v>340</v>
      </c>
      <c r="AZ21" s="14"/>
      <c r="BA21" s="14"/>
      <c r="BB21" s="14">
        <v>920</v>
      </c>
      <c r="BC21" s="14">
        <v>1260</v>
      </c>
      <c r="BD21" s="14">
        <v>1340</v>
      </c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</row>
    <row r="22" spans="1:80" x14ac:dyDescent="0.25">
      <c r="B22" s="14"/>
      <c r="C22" s="14"/>
      <c r="D22" s="14"/>
      <c r="E22" s="14"/>
      <c r="F22" s="14"/>
      <c r="G22" s="14"/>
      <c r="H22" s="14"/>
      <c r="I22" s="14"/>
      <c r="J22" s="52"/>
      <c r="K22" s="52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>
        <v>300</v>
      </c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</row>
    <row r="23" spans="1:80" x14ac:dyDescent="0.25">
      <c r="A23" s="4" t="s">
        <v>7</v>
      </c>
      <c r="B23" s="14"/>
      <c r="C23" s="14"/>
      <c r="D23" s="14"/>
      <c r="E23" s="14"/>
      <c r="F23" s="14"/>
      <c r="G23" s="14"/>
      <c r="H23" s="14"/>
      <c r="I23" s="14"/>
      <c r="J23" s="52"/>
      <c r="K23" s="52"/>
      <c r="L23" s="14"/>
      <c r="M23" s="14"/>
      <c r="N23" s="14"/>
      <c r="O23" s="14"/>
      <c r="P23" s="14"/>
      <c r="Q23" s="14"/>
      <c r="R23" s="14"/>
      <c r="S23" s="14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14"/>
      <c r="AN23" s="14"/>
      <c r="AO23" s="14">
        <v>85</v>
      </c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</row>
    <row r="24" spans="1:80" x14ac:dyDescent="0.25">
      <c r="A24" s="3" t="s">
        <v>24</v>
      </c>
      <c r="B24" s="14">
        <f>B3</f>
        <v>2850</v>
      </c>
      <c r="C24" s="14">
        <f>C3</f>
        <v>1820</v>
      </c>
      <c r="D24" s="14">
        <v>350</v>
      </c>
      <c r="E24" s="14">
        <f>E3</f>
        <v>580</v>
      </c>
      <c r="F24" s="14"/>
      <c r="G24" s="14"/>
      <c r="H24" s="14"/>
      <c r="I24" s="14"/>
      <c r="J24" s="52">
        <v>520</v>
      </c>
      <c r="K24" s="52"/>
      <c r="L24" s="14"/>
      <c r="M24" s="14"/>
      <c r="N24" s="14"/>
      <c r="O24" s="14">
        <f>O3</f>
        <v>480</v>
      </c>
      <c r="P24" s="14"/>
      <c r="Q24" s="14"/>
      <c r="R24" s="14">
        <f>R3</f>
        <v>560</v>
      </c>
      <c r="S24" s="14">
        <f>S3</f>
        <v>300</v>
      </c>
      <c r="T24" s="29">
        <f>T3</f>
        <v>520</v>
      </c>
      <c r="U24" s="29"/>
      <c r="V24" s="29">
        <f>V3</f>
        <v>200</v>
      </c>
      <c r="W24" s="29">
        <f>W3</f>
        <v>800</v>
      </c>
      <c r="X24" s="29"/>
      <c r="Y24" s="29">
        <f>Y3</f>
        <v>1360</v>
      </c>
      <c r="Z24" s="29"/>
      <c r="AA24" s="29"/>
      <c r="AB24" s="29"/>
      <c r="AC24" s="29">
        <f>AC3</f>
        <v>455.84</v>
      </c>
      <c r="AD24" s="29"/>
      <c r="AE24" s="29">
        <f>AE3</f>
        <v>600</v>
      </c>
      <c r="AF24" s="29">
        <f>AF3</f>
        <v>140</v>
      </c>
      <c r="AG24" s="29">
        <v>100</v>
      </c>
      <c r="AH24" s="29"/>
      <c r="AI24" s="29">
        <f>AI3</f>
        <v>450</v>
      </c>
      <c r="AJ24" s="29"/>
      <c r="AK24" s="29"/>
      <c r="AL24" s="29">
        <f>AL3</f>
        <v>350</v>
      </c>
      <c r="AM24" s="14"/>
      <c r="AN24" s="14"/>
      <c r="AO24" s="14">
        <v>180</v>
      </c>
      <c r="AP24" s="14"/>
      <c r="AQ24" s="14"/>
      <c r="AR24" s="14">
        <f>AR3</f>
        <v>180</v>
      </c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>
        <v>480</v>
      </c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</row>
    <row r="25" spans="1:80" x14ac:dyDescent="0.25">
      <c r="A25" s="3" t="s">
        <v>25</v>
      </c>
      <c r="B25" s="14"/>
      <c r="C25" s="14"/>
      <c r="D25" s="14">
        <v>380</v>
      </c>
      <c r="E25" s="14">
        <v>350</v>
      </c>
      <c r="F25" s="14"/>
      <c r="G25" s="14"/>
      <c r="H25" s="14"/>
      <c r="I25" s="14"/>
      <c r="J25" s="52"/>
      <c r="K25" s="52"/>
      <c r="L25" s="14"/>
      <c r="M25" s="14"/>
      <c r="N25" s="14"/>
      <c r="O25" s="14"/>
      <c r="P25" s="14"/>
      <c r="Q25" s="14"/>
      <c r="R25" s="14"/>
      <c r="S25" s="14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>
        <v>250</v>
      </c>
      <c r="AF25" s="29">
        <v>60</v>
      </c>
      <c r="AG25" s="29">
        <v>120</v>
      </c>
      <c r="AH25" s="29"/>
      <c r="AI25" s="29">
        <v>280</v>
      </c>
      <c r="AJ25" s="29"/>
      <c r="AK25" s="29"/>
      <c r="AL25" s="29"/>
      <c r="AM25" s="14"/>
      <c r="AN25" s="14"/>
      <c r="AO25" s="14">
        <v>320</v>
      </c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</row>
    <row r="26" spans="1:80" x14ac:dyDescent="0.25">
      <c r="A26" s="3" t="s">
        <v>26</v>
      </c>
      <c r="B26" s="22">
        <v>2860</v>
      </c>
      <c r="C26" s="22">
        <v>2180</v>
      </c>
      <c r="D26" s="14">
        <v>380</v>
      </c>
      <c r="E26" s="14">
        <v>350</v>
      </c>
      <c r="F26" s="14"/>
      <c r="G26" s="14"/>
      <c r="H26" s="14"/>
      <c r="I26" s="14"/>
      <c r="J26" s="52"/>
      <c r="K26" s="52"/>
      <c r="L26" s="14"/>
      <c r="M26" s="14"/>
      <c r="N26" s="14"/>
      <c r="O26" s="14"/>
      <c r="P26" s="14"/>
      <c r="Q26" s="14"/>
      <c r="R26" s="22">
        <v>480</v>
      </c>
      <c r="S26" s="22">
        <v>260</v>
      </c>
      <c r="T26" s="29">
        <v>480</v>
      </c>
      <c r="U26" s="29">
        <v>320</v>
      </c>
      <c r="V26" s="29">
        <v>200</v>
      </c>
      <c r="W26" s="29"/>
      <c r="X26" s="29"/>
      <c r="Y26" s="29"/>
      <c r="Z26" s="29"/>
      <c r="AA26" s="29"/>
      <c r="AB26" s="29"/>
      <c r="AC26" s="29"/>
      <c r="AD26" s="29"/>
      <c r="AE26" s="29">
        <v>250</v>
      </c>
      <c r="AF26" s="29">
        <v>60</v>
      </c>
      <c r="AG26" s="29">
        <v>120</v>
      </c>
      <c r="AH26" s="29"/>
      <c r="AI26" s="29"/>
      <c r="AJ26" s="29"/>
      <c r="AK26" s="29"/>
      <c r="AL26" s="29">
        <v>350</v>
      </c>
      <c r="AM26" s="14"/>
      <c r="AN26" s="14"/>
      <c r="AO26" s="14">
        <v>580</v>
      </c>
      <c r="AP26" s="14"/>
      <c r="AQ26" s="14"/>
      <c r="AR26" s="14"/>
      <c r="AS26" s="14">
        <v>480</v>
      </c>
      <c r="AT26" s="14"/>
      <c r="AU26" s="14"/>
      <c r="AV26" s="14"/>
      <c r="AW26" s="14"/>
      <c r="AX26" s="14">
        <v>320</v>
      </c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</row>
    <row r="27" spans="1:80" x14ac:dyDescent="0.25">
      <c r="A27" s="3" t="s">
        <v>27</v>
      </c>
      <c r="B27" s="14"/>
      <c r="C27" s="14"/>
      <c r="D27" s="14"/>
      <c r="E27" s="14"/>
      <c r="F27" s="14"/>
      <c r="G27" s="14"/>
      <c r="H27" s="14"/>
      <c r="I27" s="14"/>
      <c r="J27" s="52"/>
      <c r="K27" s="52"/>
      <c r="L27" s="14"/>
      <c r="M27" s="14"/>
      <c r="N27" s="14"/>
      <c r="O27" s="14"/>
      <c r="P27" s="14"/>
      <c r="Q27" s="14"/>
      <c r="R27" s="14"/>
      <c r="S27" s="14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>
        <v>250</v>
      </c>
      <c r="AF27" s="29"/>
      <c r="AG27" s="29"/>
      <c r="AH27" s="29"/>
      <c r="AI27" s="29"/>
      <c r="AJ27" s="29"/>
      <c r="AK27" s="29"/>
      <c r="AL27" s="29"/>
      <c r="AM27" s="14"/>
      <c r="AN27" s="14"/>
      <c r="AO27" s="14"/>
      <c r="AP27" s="14"/>
      <c r="AQ27" s="14"/>
      <c r="AR27" s="14"/>
      <c r="AS27" s="14">
        <v>560</v>
      </c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>
        <v>460</v>
      </c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</row>
    <row r="28" spans="1:80" x14ac:dyDescent="0.25">
      <c r="A28" s="3" t="s">
        <v>28</v>
      </c>
      <c r="B28" s="14"/>
      <c r="C28" s="14"/>
      <c r="D28" s="14"/>
      <c r="E28" s="14"/>
      <c r="F28" s="14"/>
      <c r="G28" s="14"/>
      <c r="H28" s="14"/>
      <c r="I28" s="14"/>
      <c r="J28" s="52"/>
      <c r="K28" s="52"/>
      <c r="L28" s="14"/>
      <c r="M28" s="14"/>
      <c r="N28" s="14"/>
      <c r="O28" s="14"/>
      <c r="P28" s="14"/>
      <c r="Q28" s="14"/>
      <c r="R28" s="14"/>
      <c r="S28" s="14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>
        <v>250</v>
      </c>
      <c r="AF28" s="29"/>
      <c r="AG28" s="29"/>
      <c r="AH28" s="29"/>
      <c r="AI28" s="29"/>
      <c r="AJ28" s="29"/>
      <c r="AK28" s="29"/>
      <c r="AL28" s="29"/>
      <c r="AM28" s="14"/>
      <c r="AN28" s="14"/>
      <c r="AO28" s="14"/>
      <c r="AP28" s="14"/>
      <c r="AQ28" s="14"/>
      <c r="AR28" s="14"/>
      <c r="AS28" s="14">
        <v>400</v>
      </c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>
        <v>350</v>
      </c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</row>
    <row r="29" spans="1:80" x14ac:dyDescent="0.25">
      <c r="A29" s="3" t="s">
        <v>29</v>
      </c>
      <c r="B29" s="14"/>
      <c r="C29" s="14"/>
      <c r="D29" s="14">
        <v>380</v>
      </c>
      <c r="E29" s="14">
        <v>320</v>
      </c>
      <c r="F29" s="14"/>
      <c r="G29" s="14"/>
      <c r="H29" s="14"/>
      <c r="I29" s="14"/>
      <c r="L29" s="14"/>
      <c r="M29" s="14"/>
      <c r="N29" s="14"/>
      <c r="O29" s="14"/>
      <c r="P29" s="14"/>
      <c r="Q29" s="14"/>
      <c r="R29" s="14"/>
      <c r="S29" s="14"/>
      <c r="T29" s="29"/>
      <c r="U29" s="29"/>
      <c r="V29" s="29"/>
      <c r="W29" s="29"/>
      <c r="X29" s="29"/>
      <c r="Y29" s="29">
        <f>70*4</f>
        <v>280</v>
      </c>
      <c r="Z29" s="29"/>
      <c r="AA29" s="29"/>
      <c r="AB29" s="29"/>
      <c r="AC29" s="29"/>
      <c r="AD29" s="29"/>
      <c r="AE29" s="29">
        <v>250</v>
      </c>
      <c r="AF29" s="29">
        <v>70</v>
      </c>
      <c r="AG29" s="29">
        <v>120</v>
      </c>
      <c r="AH29" s="29"/>
      <c r="AI29" s="29"/>
      <c r="AJ29" s="29"/>
      <c r="AK29" s="29"/>
      <c r="AL29" s="29"/>
      <c r="AM29" s="14"/>
      <c r="AN29" s="14"/>
      <c r="AO29" s="14"/>
      <c r="AP29" s="14"/>
      <c r="AQ29" s="14"/>
      <c r="AR29" s="14"/>
      <c r="AS29" s="14">
        <v>50</v>
      </c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>
        <v>200</v>
      </c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</row>
    <row r="30" spans="1:80" x14ac:dyDescent="0.25">
      <c r="A30" s="3" t="s">
        <v>30</v>
      </c>
      <c r="B30" s="14"/>
      <c r="C30" s="14"/>
      <c r="D30" s="14"/>
      <c r="E30" s="14"/>
      <c r="F30" s="14"/>
      <c r="G30" s="14"/>
      <c r="H30" s="14"/>
      <c r="I30" s="14"/>
      <c r="J30" s="52"/>
      <c r="K30" s="52"/>
      <c r="L30" s="14"/>
      <c r="M30" s="14"/>
      <c r="N30" s="14"/>
      <c r="O30" s="14"/>
      <c r="P30" s="14"/>
      <c r="Q30" s="14"/>
      <c r="R30" s="14"/>
      <c r="S30" s="14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>
        <v>200</v>
      </c>
      <c r="AF30" s="29"/>
      <c r="AG30" s="29"/>
      <c r="AH30" s="29"/>
      <c r="AI30" s="29"/>
      <c r="AJ30" s="29"/>
      <c r="AK30" s="29"/>
      <c r="AL30" s="29"/>
      <c r="AM30" s="14"/>
      <c r="AN30" s="14"/>
      <c r="AO30" s="14"/>
      <c r="AP30" s="14"/>
      <c r="AQ30" s="14"/>
      <c r="AR30" s="14"/>
      <c r="AS30" s="14">
        <v>300</v>
      </c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>
        <v>200</v>
      </c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</row>
    <row r="31" spans="1:80" x14ac:dyDescent="0.25">
      <c r="A31" s="3" t="s">
        <v>31</v>
      </c>
      <c r="B31" s="14"/>
      <c r="C31" s="14"/>
      <c r="D31" s="14"/>
      <c r="E31" s="14"/>
      <c r="F31" s="14"/>
      <c r="G31" s="14"/>
      <c r="H31" s="14"/>
      <c r="I31" s="14"/>
      <c r="J31" s="52"/>
      <c r="K31" s="52"/>
      <c r="L31" s="14"/>
      <c r="M31" s="14"/>
      <c r="N31" s="14"/>
      <c r="O31" s="14"/>
      <c r="P31" s="14"/>
      <c r="Q31" s="14"/>
      <c r="R31" s="14"/>
      <c r="S31" s="14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>
        <v>250</v>
      </c>
      <c r="AF31" s="29"/>
      <c r="AG31" s="29"/>
      <c r="AH31" s="29"/>
      <c r="AI31" s="29"/>
      <c r="AJ31" s="29"/>
      <c r="AK31" s="29"/>
      <c r="AL31" s="29"/>
      <c r="AM31" s="14"/>
      <c r="AN31" s="14"/>
      <c r="AO31" s="14"/>
      <c r="AP31" s="14"/>
      <c r="AQ31" s="14"/>
      <c r="AR31" s="14"/>
      <c r="AS31" s="14">
        <v>250</v>
      </c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</row>
    <row r="32" spans="1:80" ht="17.25" customHeight="1" x14ac:dyDescent="0.25">
      <c r="A32" s="3" t="s">
        <v>36</v>
      </c>
      <c r="B32" s="14"/>
      <c r="C32" s="14"/>
      <c r="D32" s="14"/>
      <c r="E32" s="14"/>
      <c r="F32" s="14"/>
      <c r="G32" s="14"/>
      <c r="H32" s="14"/>
      <c r="I32" s="14"/>
      <c r="J32" s="52"/>
      <c r="K32" s="52"/>
      <c r="L32" s="14"/>
      <c r="M32" s="14"/>
      <c r="N32" s="14"/>
      <c r="O32" s="14"/>
      <c r="P32" s="14"/>
      <c r="Q32" s="14"/>
      <c r="R32" s="14"/>
      <c r="S32" s="14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>
        <v>250</v>
      </c>
      <c r="AF32" s="29"/>
      <c r="AG32" s="29"/>
      <c r="AH32" s="29"/>
      <c r="AI32" s="29"/>
      <c r="AJ32" s="29"/>
      <c r="AK32" s="29"/>
      <c r="AL32" s="29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</row>
    <row r="33" spans="1:99" s="20" customFormat="1" x14ac:dyDescent="0.25">
      <c r="A33" s="18" t="s">
        <v>32</v>
      </c>
      <c r="B33" s="19">
        <v>2180</v>
      </c>
      <c r="C33" s="19">
        <v>1460</v>
      </c>
      <c r="D33" s="19">
        <v>480</v>
      </c>
      <c r="E33" s="19">
        <v>360</v>
      </c>
      <c r="F33" s="19"/>
      <c r="G33" s="19"/>
      <c r="H33" s="19"/>
      <c r="I33" s="19"/>
      <c r="J33" s="58">
        <v>880</v>
      </c>
      <c r="K33" s="58"/>
      <c r="L33" s="19"/>
      <c r="M33" s="19"/>
      <c r="N33" s="19">
        <v>750</v>
      </c>
      <c r="O33" s="19">
        <v>490</v>
      </c>
      <c r="P33" s="19"/>
      <c r="Q33" s="19">
        <v>890</v>
      </c>
      <c r="R33" s="19">
        <v>300</v>
      </c>
      <c r="S33" s="19">
        <v>200</v>
      </c>
      <c r="T33" s="29">
        <v>480</v>
      </c>
      <c r="U33" s="29">
        <v>250</v>
      </c>
      <c r="V33" s="29">
        <v>200</v>
      </c>
      <c r="W33" s="29">
        <v>780</v>
      </c>
      <c r="X33" s="29">
        <v>1230</v>
      </c>
      <c r="Y33" s="29"/>
      <c r="Z33" s="29"/>
      <c r="AA33" s="29"/>
      <c r="AB33" s="29"/>
      <c r="AC33" s="29">
        <v>650</v>
      </c>
      <c r="AD33" s="29">
        <v>680</v>
      </c>
      <c r="AE33" s="29">
        <v>400</v>
      </c>
      <c r="AF33" s="29">
        <v>80</v>
      </c>
      <c r="AG33" s="29">
        <v>16</v>
      </c>
      <c r="AH33" s="29"/>
      <c r="AI33" s="29">
        <v>280</v>
      </c>
      <c r="AJ33" s="29"/>
      <c r="AK33" s="29"/>
      <c r="AL33" s="2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>
        <v>330</v>
      </c>
      <c r="AY33" s="19"/>
      <c r="AZ33" s="19"/>
      <c r="BA33" s="19"/>
      <c r="BB33" s="19"/>
      <c r="BC33" s="19"/>
      <c r="BD33" s="19">
        <v>1200</v>
      </c>
      <c r="BE33" s="19"/>
      <c r="BF33" s="19"/>
      <c r="BG33" s="19"/>
      <c r="BH33" s="19"/>
      <c r="BI33" s="19">
        <v>950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G33" s="20">
        <v>680</v>
      </c>
    </row>
    <row r="34" spans="1:99" x14ac:dyDescent="0.25">
      <c r="A34" s="3" t="s">
        <v>33</v>
      </c>
      <c r="B34" s="14"/>
      <c r="C34" s="14"/>
      <c r="D34" s="14">
        <v>380</v>
      </c>
      <c r="E34" s="14">
        <v>350</v>
      </c>
      <c r="F34" s="14"/>
      <c r="G34" s="14"/>
      <c r="H34" s="14"/>
      <c r="I34" s="14"/>
      <c r="J34" s="52"/>
      <c r="K34" s="52"/>
      <c r="L34" s="14"/>
      <c r="M34" s="14"/>
      <c r="N34" s="14"/>
      <c r="O34" s="14"/>
      <c r="P34" s="14"/>
      <c r="Q34" s="14"/>
      <c r="R34" s="14"/>
      <c r="S34" s="14"/>
      <c r="T34" s="29"/>
      <c r="U34" s="29"/>
      <c r="V34" s="29"/>
      <c r="W34" s="29"/>
      <c r="X34" s="29"/>
      <c r="Y34" s="29"/>
      <c r="Z34" s="29"/>
      <c r="AA34" s="29">
        <f>480+480</f>
        <v>960</v>
      </c>
      <c r="AB34" s="29"/>
      <c r="AC34" s="29"/>
      <c r="AD34" s="29"/>
      <c r="AE34" s="29">
        <v>400</v>
      </c>
      <c r="AF34" s="29"/>
      <c r="AG34" s="29"/>
      <c r="AH34" s="29"/>
      <c r="AI34" s="29"/>
      <c r="AJ34" s="29"/>
      <c r="AK34" s="29"/>
      <c r="AL34" s="29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</row>
    <row r="35" spans="1:99" s="38" customFormat="1" x14ac:dyDescent="0.25">
      <c r="A35" s="36" t="s">
        <v>34</v>
      </c>
      <c r="B35" s="37">
        <v>2485</v>
      </c>
      <c r="C35" s="37">
        <v>2260</v>
      </c>
      <c r="D35" s="37">
        <v>380</v>
      </c>
      <c r="E35" s="37">
        <v>350</v>
      </c>
      <c r="F35" s="37"/>
      <c r="G35" s="37"/>
      <c r="H35" s="37"/>
      <c r="I35" s="37"/>
      <c r="J35" s="37">
        <v>440</v>
      </c>
      <c r="K35" s="39">
        <v>580</v>
      </c>
      <c r="L35" s="37"/>
      <c r="M35" s="37"/>
      <c r="N35" s="37"/>
      <c r="O35" s="37"/>
      <c r="P35" s="37"/>
      <c r="Q35" s="37"/>
      <c r="R35" s="37"/>
      <c r="S35" s="37"/>
      <c r="T35" s="37">
        <v>250</v>
      </c>
      <c r="U35" s="37"/>
      <c r="V35" s="37">
        <v>190</v>
      </c>
      <c r="W35" s="37"/>
      <c r="X35" s="37"/>
      <c r="Y35" s="37"/>
      <c r="Z35" s="37"/>
      <c r="AA35" s="37"/>
      <c r="AB35" s="37"/>
      <c r="AC35" s="37"/>
      <c r="AD35" s="37"/>
      <c r="AE35" s="37">
        <v>600</v>
      </c>
      <c r="AF35" s="37">
        <v>170</v>
      </c>
      <c r="AG35" s="37">
        <v>310</v>
      </c>
      <c r="AH35" s="37">
        <v>180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</row>
    <row r="36" spans="1:99" s="38" customFormat="1" x14ac:dyDescent="0.25">
      <c r="A36" s="36" t="s">
        <v>305</v>
      </c>
      <c r="B36" s="37">
        <v>2485</v>
      </c>
      <c r="C36" s="37">
        <v>2260</v>
      </c>
      <c r="D36" s="37">
        <v>480</v>
      </c>
      <c r="E36" s="37">
        <v>360</v>
      </c>
      <c r="F36" s="37"/>
      <c r="G36" s="37"/>
      <c r="H36" s="37"/>
      <c r="I36" s="37"/>
      <c r="J36" s="37">
        <v>440</v>
      </c>
      <c r="K36" s="37">
        <v>860</v>
      </c>
      <c r="L36" s="37"/>
      <c r="M36" s="37"/>
      <c r="N36" s="37"/>
      <c r="O36" s="37">
        <v>575</v>
      </c>
      <c r="P36" s="37"/>
      <c r="Q36" s="37"/>
      <c r="R36" s="37">
        <v>320</v>
      </c>
      <c r="S36" s="37"/>
      <c r="T36" s="37">
        <v>420</v>
      </c>
      <c r="U36" s="37"/>
      <c r="V36" s="37">
        <v>190</v>
      </c>
      <c r="W36" s="37">
        <v>1320</v>
      </c>
      <c r="X36" s="37"/>
      <c r="Y36" s="37"/>
      <c r="Z36" s="37"/>
      <c r="AA36" s="37"/>
      <c r="AB36" s="37"/>
      <c r="AC36" s="37">
        <v>960</v>
      </c>
      <c r="AD36" s="37"/>
      <c r="AE36" s="37">
        <v>600</v>
      </c>
      <c r="AF36" s="37">
        <v>170</v>
      </c>
      <c r="AG36" s="37">
        <v>310</v>
      </c>
      <c r="AH36" s="37">
        <v>180</v>
      </c>
      <c r="AI36" s="37"/>
      <c r="AJ36" s="37"/>
      <c r="AK36" s="37">
        <v>580</v>
      </c>
      <c r="AL36" s="37">
        <v>350</v>
      </c>
      <c r="AM36" s="37"/>
      <c r="AN36" s="37"/>
      <c r="AO36" s="37"/>
      <c r="AP36" s="37"/>
      <c r="AQ36" s="37"/>
      <c r="AR36" s="37"/>
      <c r="AS36" s="37"/>
      <c r="AT36" s="37"/>
      <c r="AU36" s="37">
        <v>480</v>
      </c>
      <c r="AV36" s="37">
        <v>640</v>
      </c>
      <c r="AW36" s="37"/>
      <c r="AX36" s="37"/>
      <c r="AY36" s="37">
        <v>340</v>
      </c>
      <c r="AZ36" s="37"/>
      <c r="BA36" s="37"/>
      <c r="BB36" s="37">
        <v>865</v>
      </c>
      <c r="BC36" s="37">
        <v>1280</v>
      </c>
      <c r="BD36" s="37">
        <v>1460</v>
      </c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</row>
    <row r="37" spans="1:99" s="38" customFormat="1" x14ac:dyDescent="0.25">
      <c r="A37" s="36" t="s">
        <v>37</v>
      </c>
      <c r="B37" s="37">
        <v>2485</v>
      </c>
      <c r="C37" s="37">
        <v>2260</v>
      </c>
      <c r="D37" s="37">
        <v>480</v>
      </c>
      <c r="E37" s="37">
        <v>360</v>
      </c>
      <c r="F37" s="37"/>
      <c r="G37" s="37"/>
      <c r="H37" s="37"/>
      <c r="I37" s="37"/>
      <c r="J37" s="37">
        <v>440</v>
      </c>
      <c r="K37" s="37">
        <v>860</v>
      </c>
      <c r="L37" s="37"/>
      <c r="M37" s="37"/>
      <c r="N37" s="37"/>
      <c r="O37" s="37">
        <v>575</v>
      </c>
      <c r="P37" s="37"/>
      <c r="Q37" s="37"/>
      <c r="R37" s="37">
        <v>320</v>
      </c>
      <c r="S37" s="37"/>
      <c r="T37" s="37">
        <v>420</v>
      </c>
      <c r="U37" s="37"/>
      <c r="V37" s="37">
        <v>190</v>
      </c>
      <c r="W37" s="37">
        <v>1320</v>
      </c>
      <c r="X37" s="37"/>
      <c r="Y37" s="37"/>
      <c r="Z37" s="37"/>
      <c r="AA37" s="37"/>
      <c r="AB37" s="37"/>
      <c r="AC37" s="37">
        <v>960</v>
      </c>
      <c r="AD37" s="37"/>
      <c r="AE37" s="37">
        <v>600</v>
      </c>
      <c r="AF37" s="37">
        <v>170</v>
      </c>
      <c r="AG37" s="37">
        <v>310</v>
      </c>
      <c r="AH37" s="37">
        <v>180</v>
      </c>
      <c r="AI37" s="37"/>
      <c r="AJ37" s="37"/>
      <c r="AK37" s="37">
        <v>580</v>
      </c>
      <c r="AL37" s="37">
        <v>350</v>
      </c>
      <c r="AM37" s="37"/>
      <c r="AN37" s="37"/>
      <c r="AO37" s="37"/>
      <c r="AP37" s="37"/>
      <c r="AQ37" s="37"/>
      <c r="AR37" s="37"/>
      <c r="AS37" s="37"/>
      <c r="AT37" s="37"/>
      <c r="AU37" s="37">
        <v>480</v>
      </c>
      <c r="AV37" s="37">
        <v>640</v>
      </c>
      <c r="AW37" s="37"/>
      <c r="AX37" s="37"/>
      <c r="AY37" s="37">
        <v>340</v>
      </c>
      <c r="AZ37" s="37"/>
      <c r="BA37" s="37"/>
      <c r="BB37" s="37">
        <v>865</v>
      </c>
      <c r="BC37" s="37">
        <v>1280</v>
      </c>
      <c r="BD37" s="37">
        <v>1460</v>
      </c>
      <c r="BE37" s="37">
        <v>1460</v>
      </c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</row>
    <row r="38" spans="1:99" s="20" customFormat="1" x14ac:dyDescent="0.25">
      <c r="A38" s="18" t="s">
        <v>327</v>
      </c>
      <c r="B38" s="19">
        <v>2180</v>
      </c>
      <c r="C38" s="19">
        <v>1460</v>
      </c>
      <c r="D38" s="22">
        <v>880</v>
      </c>
      <c r="E38" s="22">
        <v>620</v>
      </c>
      <c r="F38" s="19"/>
      <c r="G38" s="19"/>
      <c r="H38" s="19"/>
      <c r="I38" s="19"/>
      <c r="J38" s="58">
        <v>880</v>
      </c>
      <c r="K38" s="58"/>
      <c r="L38" s="19"/>
      <c r="M38" s="19"/>
      <c r="N38" s="19">
        <v>750</v>
      </c>
      <c r="O38" s="19">
        <v>490</v>
      </c>
      <c r="P38" s="19"/>
      <c r="Q38" s="19">
        <v>890</v>
      </c>
      <c r="R38" s="19">
        <v>300</v>
      </c>
      <c r="S38" s="19">
        <v>200</v>
      </c>
      <c r="T38" s="29">
        <v>480</v>
      </c>
      <c r="U38" s="29">
        <v>250</v>
      </c>
      <c r="V38" s="29">
        <v>200</v>
      </c>
      <c r="W38" s="29">
        <v>780</v>
      </c>
      <c r="X38" s="29">
        <v>1230</v>
      </c>
      <c r="Y38" s="29"/>
      <c r="Z38" s="29"/>
      <c r="AA38" s="29"/>
      <c r="AB38" s="29"/>
      <c r="AC38" s="29">
        <v>650</v>
      </c>
      <c r="AD38" s="29">
        <v>680</v>
      </c>
      <c r="AE38" s="29">
        <v>600</v>
      </c>
      <c r="AF38" s="29">
        <v>125</v>
      </c>
      <c r="AG38" s="29">
        <v>240</v>
      </c>
      <c r="AH38" s="29">
        <v>180</v>
      </c>
      <c r="AI38" s="29">
        <v>1100</v>
      </c>
      <c r="AJ38" s="29"/>
      <c r="AK38" s="29">
        <v>260</v>
      </c>
      <c r="AL38" s="2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>
        <v>330</v>
      </c>
      <c r="AY38" s="19"/>
      <c r="AZ38" s="19"/>
      <c r="BA38" s="19"/>
      <c r="BB38" s="19"/>
      <c r="BC38" s="19"/>
      <c r="BD38" s="19">
        <v>1200</v>
      </c>
      <c r="BE38" s="19"/>
      <c r="BF38" s="19"/>
      <c r="BG38" s="19"/>
      <c r="BH38" s="19"/>
      <c r="BI38" s="19">
        <v>950</v>
      </c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G38" s="20">
        <v>680</v>
      </c>
    </row>
    <row r="39" spans="1:99" s="35" customFormat="1" x14ac:dyDescent="0.25">
      <c r="A39" s="34" t="s">
        <v>38</v>
      </c>
      <c r="B39" s="26">
        <v>2485</v>
      </c>
      <c r="C39" s="26">
        <v>2260</v>
      </c>
      <c r="D39" s="26">
        <v>480</v>
      </c>
      <c r="E39" s="26">
        <v>360</v>
      </c>
      <c r="F39" s="26"/>
      <c r="G39" s="26"/>
      <c r="H39" s="26"/>
      <c r="I39" s="26"/>
      <c r="J39" s="26">
        <v>440</v>
      </c>
      <c r="K39" s="26">
        <v>860</v>
      </c>
      <c r="L39" s="26"/>
      <c r="M39" s="26"/>
      <c r="N39" s="26"/>
      <c r="O39" s="26">
        <v>575</v>
      </c>
      <c r="P39" s="26"/>
      <c r="Q39" s="26"/>
      <c r="R39" s="26">
        <v>320</v>
      </c>
      <c r="S39" s="26"/>
      <c r="T39" s="26">
        <v>420</v>
      </c>
      <c r="U39" s="26"/>
      <c r="V39" s="26">
        <v>190</v>
      </c>
      <c r="W39" s="26">
        <v>1320</v>
      </c>
      <c r="X39" s="26"/>
      <c r="Y39" s="26"/>
      <c r="Z39" s="26"/>
      <c r="AA39" s="26"/>
      <c r="AB39" s="26"/>
      <c r="AC39" s="26">
        <v>960</v>
      </c>
      <c r="AD39" s="26"/>
      <c r="AE39" s="26">
        <v>600</v>
      </c>
      <c r="AF39" s="26">
        <v>170</v>
      </c>
      <c r="AG39" s="26">
        <v>310</v>
      </c>
      <c r="AH39" s="26">
        <v>180</v>
      </c>
      <c r="AI39" s="26">
        <v>540</v>
      </c>
      <c r="AJ39" s="26"/>
      <c r="AK39" s="26"/>
      <c r="AL39" s="26">
        <v>350</v>
      </c>
      <c r="AM39" s="26"/>
      <c r="AN39" s="26"/>
      <c r="AO39" s="26"/>
      <c r="AP39" s="26"/>
      <c r="AQ39" s="26"/>
      <c r="AR39" s="26"/>
      <c r="AS39" s="26"/>
      <c r="AT39" s="26"/>
      <c r="AU39" s="26">
        <v>950</v>
      </c>
      <c r="AV39" s="26">
        <v>640</v>
      </c>
      <c r="AW39" s="26"/>
      <c r="AX39" s="26"/>
      <c r="AY39" s="26">
        <v>340</v>
      </c>
      <c r="AZ39" s="26"/>
      <c r="BA39" s="26"/>
      <c r="BB39" s="26">
        <v>865</v>
      </c>
      <c r="BC39" s="26">
        <v>1280</v>
      </c>
      <c r="BD39" s="26">
        <v>1460</v>
      </c>
      <c r="BE39" s="26"/>
      <c r="BF39" s="26"/>
      <c r="BG39" s="26">
        <v>1160</v>
      </c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</row>
    <row r="40" spans="1:99" hidden="1" x14ac:dyDescent="0.25">
      <c r="A40" s="3" t="s">
        <v>283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</row>
    <row r="41" spans="1:99" x14ac:dyDescent="0.25">
      <c r="A41" s="4" t="s">
        <v>7</v>
      </c>
      <c r="B41" s="15"/>
      <c r="C41" s="15"/>
      <c r="D41" s="15"/>
      <c r="E41" s="15"/>
      <c r="F41" s="15"/>
      <c r="G41" s="15"/>
      <c r="H41" s="15"/>
      <c r="I41" s="15"/>
      <c r="J41" s="57"/>
      <c r="K41" s="57"/>
      <c r="L41" s="15"/>
      <c r="M41" s="15"/>
      <c r="N41" s="15"/>
      <c r="O41" s="15"/>
      <c r="P41" s="15"/>
      <c r="Q41" s="15"/>
      <c r="R41" s="15"/>
      <c r="S41" s="15"/>
      <c r="T41" s="30"/>
      <c r="U41" s="30"/>
      <c r="V41" s="30"/>
      <c r="W41" s="30"/>
      <c r="X41" s="30"/>
      <c r="Y41" s="30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</row>
    <row r="42" spans="1:99" x14ac:dyDescent="0.25">
      <c r="A42" s="3" t="s">
        <v>39</v>
      </c>
      <c r="B42" s="14"/>
      <c r="C42" s="14"/>
      <c r="D42" s="14"/>
      <c r="E42" s="14"/>
      <c r="F42" s="14"/>
      <c r="G42" s="14"/>
      <c r="H42" s="14"/>
      <c r="I42" s="14"/>
      <c r="J42" s="52"/>
      <c r="K42" s="52"/>
      <c r="L42" s="14"/>
      <c r="M42" s="14"/>
      <c r="N42" s="14"/>
      <c r="O42" s="14"/>
      <c r="P42" s="14"/>
      <c r="Q42" s="14"/>
      <c r="R42" s="14"/>
      <c r="S42" s="14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</row>
    <row r="43" spans="1:99" x14ac:dyDescent="0.25">
      <c r="A43" s="3" t="s">
        <v>43</v>
      </c>
      <c r="B43" s="14">
        <v>2485</v>
      </c>
      <c r="C43" s="14">
        <v>2260</v>
      </c>
      <c r="D43" s="22">
        <v>680</v>
      </c>
      <c r="E43" s="22">
        <v>520</v>
      </c>
      <c r="F43" s="14"/>
      <c r="G43" s="14"/>
      <c r="H43" s="14"/>
      <c r="I43" s="14"/>
      <c r="J43" s="52">
        <v>480</v>
      </c>
      <c r="K43" s="52"/>
      <c r="L43" s="14"/>
      <c r="M43" s="14"/>
      <c r="N43" s="14"/>
      <c r="O43" s="14">
        <v>575</v>
      </c>
      <c r="P43" s="14"/>
      <c r="Q43" s="14"/>
      <c r="R43" s="14">
        <v>320</v>
      </c>
      <c r="S43" s="14"/>
      <c r="T43" s="29">
        <v>420</v>
      </c>
      <c r="U43" s="29"/>
      <c r="V43" s="29">
        <v>190</v>
      </c>
      <c r="W43" s="29">
        <v>1320</v>
      </c>
      <c r="X43" s="29"/>
      <c r="Y43" s="29"/>
      <c r="Z43" s="29"/>
      <c r="AA43" s="29"/>
      <c r="AB43" s="29"/>
      <c r="AC43" s="29">
        <v>960</v>
      </c>
      <c r="AD43" s="29"/>
      <c r="AE43" s="29">
        <v>500</v>
      </c>
      <c r="AF43" s="29">
        <v>85</v>
      </c>
      <c r="AG43" s="29">
        <v>180</v>
      </c>
      <c r="AH43" s="29"/>
      <c r="AI43" s="29">
        <v>350</v>
      </c>
      <c r="AJ43" s="29"/>
      <c r="AK43" s="29"/>
      <c r="AL43" s="29">
        <v>350</v>
      </c>
      <c r="AM43" s="14"/>
      <c r="AN43" s="14"/>
      <c r="AO43" s="14"/>
      <c r="AP43" s="14"/>
      <c r="AQ43" s="14"/>
      <c r="AR43" s="14"/>
      <c r="AS43" s="14"/>
      <c r="AT43" s="14"/>
      <c r="AU43" s="14">
        <v>480</v>
      </c>
      <c r="AV43" s="14">
        <v>640</v>
      </c>
      <c r="AW43" s="14">
        <v>480</v>
      </c>
      <c r="AX43" s="14"/>
      <c r="AY43" s="14">
        <v>340</v>
      </c>
      <c r="AZ43" s="14"/>
      <c r="BA43" s="14"/>
      <c r="BB43" s="14">
        <v>865</v>
      </c>
      <c r="BC43" s="14">
        <v>1280</v>
      </c>
      <c r="BD43" s="14">
        <v>1460</v>
      </c>
      <c r="BE43" s="14"/>
      <c r="BF43" s="14"/>
      <c r="BG43" s="14">
        <v>1160</v>
      </c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</row>
    <row r="44" spans="1:99" x14ac:dyDescent="0.25">
      <c r="A44" s="3" t="s">
        <v>283</v>
      </c>
      <c r="B44" s="14"/>
      <c r="C44" s="14"/>
      <c r="D44" s="14">
        <v>380</v>
      </c>
      <c r="E44" s="14">
        <v>350</v>
      </c>
      <c r="F44" s="14"/>
      <c r="G44" s="14"/>
      <c r="H44" s="14"/>
      <c r="I44" s="14"/>
      <c r="J44" s="52">
        <v>750</v>
      </c>
      <c r="K44" s="52"/>
      <c r="L44" s="14"/>
      <c r="M44" s="14"/>
      <c r="N44" s="14"/>
      <c r="O44" s="14"/>
      <c r="P44" s="14"/>
      <c r="Q44" s="14"/>
      <c r="R44" s="14"/>
      <c r="S44" s="14"/>
      <c r="T44" s="29">
        <v>350</v>
      </c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>
        <v>600</v>
      </c>
      <c r="AF44" s="29">
        <v>110</v>
      </c>
      <c r="AG44" s="29">
        <v>240</v>
      </c>
      <c r="AH44" s="29"/>
      <c r="AI44" s="29"/>
      <c r="AJ44" s="29"/>
      <c r="AK44" s="29"/>
      <c r="AL44" s="29"/>
      <c r="AM44" s="14"/>
      <c r="AN44" s="14"/>
      <c r="AO44" s="14"/>
      <c r="AP44" s="14"/>
      <c r="AQ44" s="14"/>
      <c r="AR44" s="14"/>
      <c r="AS44" s="14"/>
      <c r="AT44" s="14"/>
      <c r="AU44" s="14">
        <v>480</v>
      </c>
      <c r="AV44" s="14">
        <v>640</v>
      </c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</row>
    <row r="45" spans="1:99" x14ac:dyDescent="0.25">
      <c r="A45" s="3" t="s">
        <v>41</v>
      </c>
      <c r="B45" s="14">
        <f>(1640.67*2)+99.75</f>
        <v>3381.09</v>
      </c>
      <c r="C45" s="14">
        <f>(1153.54*2)+201.87</f>
        <v>2508.9499999999998</v>
      </c>
      <c r="D45" s="14">
        <v>880</v>
      </c>
      <c r="E45" s="14">
        <v>789</v>
      </c>
      <c r="F45" s="14"/>
      <c r="G45" s="14"/>
      <c r="H45" s="14"/>
      <c r="I45" s="14"/>
      <c r="J45" s="5">
        <v>1160</v>
      </c>
      <c r="K45" s="5">
        <v>1640</v>
      </c>
      <c r="L45" s="14"/>
      <c r="M45" s="14"/>
      <c r="N45" s="14"/>
      <c r="O45" s="14">
        <f>(790.53*2)+47.43</f>
        <v>1628.49</v>
      </c>
      <c r="P45" s="14"/>
      <c r="Q45" s="14"/>
      <c r="R45" s="14">
        <v>760</v>
      </c>
      <c r="S45" s="14"/>
      <c r="T45" s="29">
        <v>620</v>
      </c>
      <c r="U45" s="29">
        <v>480</v>
      </c>
      <c r="V45" s="29">
        <v>200</v>
      </c>
      <c r="W45" s="29">
        <f>(2072.12*2)+124.33</f>
        <v>4268.57</v>
      </c>
      <c r="X45" s="29"/>
      <c r="Y45" s="29">
        <f>(3160.13*2)+189.61</f>
        <v>6509.87</v>
      </c>
      <c r="Z45" s="29"/>
      <c r="AA45" s="29"/>
      <c r="AB45" s="29"/>
      <c r="AC45" s="29"/>
      <c r="AD45" s="29"/>
      <c r="AE45" s="29">
        <v>400</v>
      </c>
      <c r="AF45" s="29">
        <v>85</v>
      </c>
      <c r="AG45" s="29">
        <v>160</v>
      </c>
      <c r="AH45" s="29"/>
      <c r="AI45" s="29">
        <f>(164.86*8)+39.57</f>
        <v>1358.45</v>
      </c>
      <c r="AJ45" s="29"/>
      <c r="AK45" s="29"/>
      <c r="AL45" s="29"/>
      <c r="AM45" s="14"/>
      <c r="AN45" s="14"/>
      <c r="AO45" s="14"/>
      <c r="AP45" s="14"/>
      <c r="AQ45" s="14"/>
      <c r="AR45" s="14">
        <f>341.19+10.24</f>
        <v>351.43</v>
      </c>
      <c r="AS45" s="14"/>
      <c r="AT45" s="14"/>
      <c r="AU45" s="14">
        <f>390.22+11.71</f>
        <v>401.93</v>
      </c>
      <c r="AV45" s="14">
        <f>(165.65*2)+9.94</f>
        <v>341.24</v>
      </c>
      <c r="AW45" s="14"/>
      <c r="AX45" s="14"/>
      <c r="AY45" s="14"/>
      <c r="AZ45" s="14"/>
      <c r="BA45" s="14"/>
      <c r="BB45" s="14"/>
      <c r="BC45" s="14">
        <f>1945.8+340.52</f>
        <v>2286.3199999999997</v>
      </c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U45" s="2">
        <v>200</v>
      </c>
    </row>
    <row r="46" spans="1:99" x14ac:dyDescent="0.25">
      <c r="A46" s="3" t="s">
        <v>42</v>
      </c>
      <c r="B46" s="14"/>
      <c r="C46" s="14"/>
      <c r="D46" s="14"/>
      <c r="E46" s="14"/>
      <c r="F46" s="14"/>
      <c r="G46" s="14"/>
      <c r="H46" s="14"/>
      <c r="I46" s="14"/>
      <c r="J46" s="52"/>
      <c r="K46" s="52"/>
      <c r="L46" s="14"/>
      <c r="M46" s="14"/>
      <c r="N46" s="14"/>
      <c r="O46" s="14"/>
      <c r="P46" s="14"/>
      <c r="Q46" s="14"/>
      <c r="R46" s="14"/>
      <c r="S46" s="14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>
        <v>400</v>
      </c>
      <c r="AF46" s="29">
        <v>85</v>
      </c>
      <c r="AG46" s="29">
        <v>160</v>
      </c>
      <c r="AH46" s="29"/>
      <c r="AI46" s="29"/>
      <c r="AJ46" s="29"/>
      <c r="AK46" s="29"/>
      <c r="AL46" s="29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U46" s="2">
        <v>40</v>
      </c>
    </row>
    <row r="47" spans="1:99" x14ac:dyDescent="0.25">
      <c r="A47" s="3" t="s">
        <v>32</v>
      </c>
      <c r="B47" s="14"/>
      <c r="C47" s="14"/>
      <c r="D47" s="14">
        <v>380</v>
      </c>
      <c r="E47" s="14">
        <v>350</v>
      </c>
      <c r="F47" s="14"/>
      <c r="G47" s="14"/>
      <c r="H47" s="14"/>
      <c r="I47" s="14"/>
      <c r="J47" s="52"/>
      <c r="K47" s="52"/>
      <c r="L47" s="14"/>
      <c r="M47" s="14"/>
      <c r="N47" s="14"/>
      <c r="O47" s="14"/>
      <c r="P47" s="14"/>
      <c r="Q47" s="14"/>
      <c r="R47" s="14"/>
      <c r="S47" s="14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>
        <v>400</v>
      </c>
      <c r="AF47" s="29">
        <v>85</v>
      </c>
      <c r="AG47" s="29">
        <v>160</v>
      </c>
      <c r="AH47" s="29"/>
      <c r="AI47" s="29">
        <v>350</v>
      </c>
      <c r="AJ47" s="29"/>
      <c r="AK47" s="29"/>
      <c r="AL47" s="29"/>
      <c r="AM47" s="14"/>
      <c r="AN47" s="14"/>
      <c r="AO47" s="14"/>
      <c r="AP47" s="14"/>
      <c r="AQ47" s="14"/>
      <c r="AR47" s="14"/>
      <c r="AS47" s="14"/>
      <c r="AT47" s="14"/>
      <c r="AU47" s="14">
        <v>480</v>
      </c>
      <c r="AV47" s="14">
        <v>640</v>
      </c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U47" s="2">
        <v>120</v>
      </c>
    </row>
    <row r="48" spans="1:99" hidden="1" x14ac:dyDescent="0.25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22">
        <v>160</v>
      </c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</row>
    <row r="49" spans="1:99" x14ac:dyDescent="0.25">
      <c r="A49" s="4" t="s">
        <v>8</v>
      </c>
      <c r="B49" s="14"/>
      <c r="C49" s="14"/>
      <c r="D49" s="14"/>
      <c r="E49" s="14"/>
      <c r="F49" s="14"/>
      <c r="G49" s="14"/>
      <c r="H49" s="14"/>
      <c r="I49" s="14"/>
      <c r="J49" s="52"/>
      <c r="K49" s="52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22">
        <v>160</v>
      </c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U49" s="2">
        <v>50</v>
      </c>
    </row>
    <row r="50" spans="1:99" s="35" customFormat="1" ht="14.25" customHeight="1" x14ac:dyDescent="0.25">
      <c r="A50" s="34" t="s">
        <v>44</v>
      </c>
      <c r="B50" s="26">
        <v>1860</v>
      </c>
      <c r="C50" s="26">
        <v>1200</v>
      </c>
      <c r="D50" s="26">
        <v>720</v>
      </c>
      <c r="E50" s="26">
        <v>580</v>
      </c>
      <c r="F50" s="26"/>
      <c r="G50" s="26"/>
      <c r="H50" s="26">
        <v>400</v>
      </c>
      <c r="I50" s="26"/>
      <c r="J50" s="55">
        <v>680</v>
      </c>
      <c r="K50" s="55"/>
      <c r="L50" s="26"/>
      <c r="M50" s="26"/>
      <c r="N50" s="26">
        <v>790</v>
      </c>
      <c r="O50" s="26">
        <v>350</v>
      </c>
      <c r="P50" s="26">
        <v>2180</v>
      </c>
      <c r="Q50" s="26"/>
      <c r="R50" s="26">
        <v>280</v>
      </c>
      <c r="S50" s="26">
        <v>150</v>
      </c>
      <c r="T50" s="26">
        <v>650</v>
      </c>
      <c r="U50" s="26">
        <v>250</v>
      </c>
      <c r="V50" s="26">
        <v>200</v>
      </c>
      <c r="W50" s="26">
        <v>550</v>
      </c>
      <c r="X50" s="26"/>
      <c r="Y50" s="26">
        <v>1260</v>
      </c>
      <c r="Z50" s="26"/>
      <c r="AA50" s="26"/>
      <c r="AB50" s="26"/>
      <c r="AC50" s="26"/>
      <c r="AD50" s="26"/>
      <c r="AE50" s="26">
        <v>400</v>
      </c>
      <c r="AF50" s="26">
        <v>85</v>
      </c>
      <c r="AG50" s="26">
        <v>145</v>
      </c>
      <c r="AH50" s="26">
        <v>110</v>
      </c>
      <c r="AI50" s="26">
        <v>980</v>
      </c>
      <c r="AJ50" s="26"/>
      <c r="AK50" s="26"/>
      <c r="AL50" s="26">
        <v>350</v>
      </c>
      <c r="AM50" s="26"/>
      <c r="AN50" s="26"/>
      <c r="AO50" s="26"/>
      <c r="AP50" s="26"/>
      <c r="AQ50" s="26"/>
      <c r="AR50" s="26">
        <v>460</v>
      </c>
      <c r="AS50" s="26"/>
      <c r="AT50" s="26"/>
      <c r="AU50" s="26">
        <v>720</v>
      </c>
      <c r="AV50" s="26">
        <v>750</v>
      </c>
      <c r="AW50" s="26"/>
      <c r="AX50" s="26">
        <v>360</v>
      </c>
      <c r="AY50" s="26">
        <v>280</v>
      </c>
      <c r="AZ50" s="26"/>
      <c r="BA50" s="26"/>
      <c r="BB50" s="26"/>
      <c r="BC50" s="26"/>
      <c r="BD50" s="26"/>
      <c r="BE50" s="26"/>
      <c r="BF50" s="26"/>
      <c r="BG50" s="26">
        <v>1280</v>
      </c>
      <c r="BH50" s="26"/>
      <c r="BI50" s="26"/>
      <c r="BJ50" s="26"/>
      <c r="BK50" s="26"/>
      <c r="BL50" s="26">
        <v>800</v>
      </c>
      <c r="BM50" s="26"/>
      <c r="BN50" s="26"/>
      <c r="BO50" s="26"/>
      <c r="BP50" s="26">
        <v>3260</v>
      </c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I50" s="35">
        <v>1950</v>
      </c>
      <c r="CK50" s="35">
        <v>320</v>
      </c>
      <c r="CL50" s="35">
        <v>320</v>
      </c>
      <c r="CU50" s="35">
        <v>380</v>
      </c>
    </row>
    <row r="51" spans="1:99" s="38" customFormat="1" ht="15" customHeight="1" x14ac:dyDescent="0.25">
      <c r="A51" s="36" t="s">
        <v>45</v>
      </c>
      <c r="B51" s="37">
        <v>1655</v>
      </c>
      <c r="C51" s="37">
        <v>1428</v>
      </c>
      <c r="D51" s="37">
        <v>720</v>
      </c>
      <c r="E51" s="37">
        <v>580</v>
      </c>
      <c r="F51" s="37"/>
      <c r="G51" s="37"/>
      <c r="H51" s="37"/>
      <c r="I51" s="37"/>
      <c r="J51" s="56">
        <v>680</v>
      </c>
      <c r="K51" s="56"/>
      <c r="L51" s="37"/>
      <c r="M51" s="37"/>
      <c r="N51" s="37"/>
      <c r="O51" s="37">
        <v>450</v>
      </c>
      <c r="P51" s="37"/>
      <c r="Q51" s="37">
        <v>550</v>
      </c>
      <c r="R51" s="37">
        <v>280</v>
      </c>
      <c r="S51" s="37">
        <v>150</v>
      </c>
      <c r="T51" s="37">
        <v>395</v>
      </c>
      <c r="U51" s="37"/>
      <c r="V51" s="37">
        <v>200</v>
      </c>
      <c r="W51" s="37">
        <v>280</v>
      </c>
      <c r="X51" s="37">
        <v>950</v>
      </c>
      <c r="Y51" s="37">
        <v>360</v>
      </c>
      <c r="Z51" s="37"/>
      <c r="AA51" s="37">
        <v>850</v>
      </c>
      <c r="AB51" s="37"/>
      <c r="AC51" s="37"/>
      <c r="AD51" s="37"/>
      <c r="AE51" s="37">
        <v>400</v>
      </c>
      <c r="AF51" s="37">
        <v>85</v>
      </c>
      <c r="AG51" s="37">
        <v>145</v>
      </c>
      <c r="AH51" s="37"/>
      <c r="AI51" s="37">
        <v>980</v>
      </c>
      <c r="AJ51" s="37">
        <v>1500</v>
      </c>
      <c r="AK51" s="37"/>
      <c r="AL51" s="37"/>
      <c r="AM51" s="37">
        <v>700</v>
      </c>
      <c r="AN51" s="37"/>
      <c r="AO51" s="37"/>
      <c r="AP51" s="37"/>
      <c r="AQ51" s="37">
        <v>300</v>
      </c>
      <c r="AR51" s="37"/>
      <c r="AS51" s="37"/>
      <c r="AT51" s="37"/>
      <c r="AU51" s="37"/>
      <c r="AV51" s="37"/>
      <c r="AW51" s="37"/>
      <c r="AX51" s="37">
        <v>450</v>
      </c>
      <c r="AY51" s="37">
        <v>320</v>
      </c>
      <c r="AZ51" s="37">
        <v>380</v>
      </c>
      <c r="BA51" s="37"/>
      <c r="BB51" s="37">
        <v>450</v>
      </c>
      <c r="BC51" s="37">
        <v>340</v>
      </c>
      <c r="BD51" s="37">
        <v>700</v>
      </c>
      <c r="BE51" s="37">
        <v>550</v>
      </c>
      <c r="BF51" s="37"/>
      <c r="BG51" s="37">
        <v>650</v>
      </c>
      <c r="BH51" s="37">
        <v>760</v>
      </c>
      <c r="BI51" s="37"/>
      <c r="BJ51" s="37"/>
      <c r="BK51" s="37"/>
      <c r="BL51" s="37">
        <v>1160</v>
      </c>
      <c r="BM51" s="37"/>
      <c r="BN51" s="37"/>
      <c r="BO51" s="37"/>
      <c r="BP51" s="37">
        <v>3850</v>
      </c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K51" s="38">
        <v>320</v>
      </c>
      <c r="CL51" s="38">
        <v>320</v>
      </c>
      <c r="CU51" s="38">
        <v>350</v>
      </c>
    </row>
    <row r="52" spans="1:99" x14ac:dyDescent="0.25">
      <c r="A52" s="3" t="s">
        <v>46</v>
      </c>
      <c r="B52" s="14"/>
      <c r="C52" s="14"/>
      <c r="D52" s="14">
        <v>280</v>
      </c>
      <c r="E52" s="14">
        <v>250</v>
      </c>
      <c r="F52" s="14"/>
      <c r="G52" s="14"/>
      <c r="H52" s="14"/>
      <c r="I52" s="14"/>
      <c r="J52" s="52">
        <v>350</v>
      </c>
      <c r="K52" s="52"/>
      <c r="L52" s="14"/>
      <c r="M52" s="14"/>
      <c r="N52" s="14"/>
      <c r="O52" s="14">
        <v>255</v>
      </c>
      <c r="P52" s="14"/>
      <c r="Q52" s="14">
        <v>350</v>
      </c>
      <c r="R52" s="14"/>
      <c r="S52" s="14"/>
      <c r="T52" s="14">
        <v>195</v>
      </c>
      <c r="U52" s="14"/>
      <c r="V52" s="14"/>
      <c r="W52" s="14">
        <v>350</v>
      </c>
      <c r="X52" s="14"/>
      <c r="Y52" s="14"/>
      <c r="Z52" s="14"/>
      <c r="AA52" s="14"/>
      <c r="AB52" s="14"/>
      <c r="AC52" s="14"/>
      <c r="AD52" s="14"/>
      <c r="AE52" s="22">
        <v>300</v>
      </c>
      <c r="AF52" s="22">
        <v>70</v>
      </c>
      <c r="AG52" s="22">
        <v>160</v>
      </c>
      <c r="AH52" s="14"/>
      <c r="AI52" s="25">
        <v>980</v>
      </c>
      <c r="AJ52" s="14">
        <v>1120</v>
      </c>
      <c r="AK52" s="14"/>
      <c r="AL52" s="14"/>
      <c r="AM52" s="14"/>
      <c r="AN52" s="14"/>
      <c r="AO52" s="14"/>
      <c r="AP52" s="14">
        <v>40</v>
      </c>
      <c r="AQ52" s="14"/>
      <c r="AR52" s="14"/>
      <c r="AS52" s="14">
        <v>45</v>
      </c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U52" s="2">
        <v>750</v>
      </c>
    </row>
    <row r="53" spans="1:99" s="35" customFormat="1" x14ac:dyDescent="0.25">
      <c r="A53" s="34" t="s">
        <v>47</v>
      </c>
      <c r="B53" s="26">
        <v>1850</v>
      </c>
      <c r="C53" s="26">
        <v>1150</v>
      </c>
      <c r="D53" s="26">
        <v>720</v>
      </c>
      <c r="E53" s="26">
        <v>580</v>
      </c>
      <c r="F53" s="26"/>
      <c r="G53" s="26"/>
      <c r="H53" s="26"/>
      <c r="I53" s="26"/>
      <c r="J53" s="55">
        <v>680</v>
      </c>
      <c r="K53" s="55"/>
      <c r="L53" s="26"/>
      <c r="M53" s="26"/>
      <c r="N53" s="26"/>
      <c r="O53" s="26">
        <v>360</v>
      </c>
      <c r="P53" s="26">
        <v>2850</v>
      </c>
      <c r="Q53" s="26"/>
      <c r="R53" s="26">
        <v>280</v>
      </c>
      <c r="S53" s="26">
        <v>150</v>
      </c>
      <c r="T53" s="26">
        <v>395</v>
      </c>
      <c r="U53" s="26"/>
      <c r="V53" s="26">
        <v>200</v>
      </c>
      <c r="W53" s="26">
        <v>480</v>
      </c>
      <c r="X53" s="26"/>
      <c r="Y53" s="26">
        <v>1360</v>
      </c>
      <c r="Z53" s="26">
        <v>260</v>
      </c>
      <c r="AA53" s="26"/>
      <c r="AB53" s="26"/>
      <c r="AC53" s="26">
        <f>442.56+13.28</f>
        <v>455.84</v>
      </c>
      <c r="AD53" s="26"/>
      <c r="AE53" s="26">
        <v>400</v>
      </c>
      <c r="AF53" s="26">
        <v>90</v>
      </c>
      <c r="AG53" s="26">
        <v>160</v>
      </c>
      <c r="AH53" s="26"/>
      <c r="AI53" s="26">
        <v>980</v>
      </c>
      <c r="AJ53" s="26"/>
      <c r="AK53" s="26"/>
      <c r="AL53" s="26">
        <v>350</v>
      </c>
      <c r="AM53" s="26"/>
      <c r="AN53" s="26"/>
      <c r="AO53" s="26"/>
      <c r="AP53" s="26"/>
      <c r="AQ53" s="26"/>
      <c r="AR53" s="26">
        <v>225</v>
      </c>
      <c r="AS53" s="26"/>
      <c r="AT53" s="26"/>
      <c r="AU53" s="26"/>
      <c r="AV53" s="26"/>
      <c r="AW53" s="26"/>
      <c r="AX53" s="26">
        <v>300</v>
      </c>
      <c r="AY53" s="26">
        <v>280</v>
      </c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>
        <v>350</v>
      </c>
      <c r="BM53" s="26">
        <v>250</v>
      </c>
      <c r="BN53" s="26">
        <v>150</v>
      </c>
      <c r="BO53" s="26"/>
      <c r="BP53" s="26"/>
      <c r="BQ53" s="26">
        <v>845</v>
      </c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I53" s="35">
        <v>1850</v>
      </c>
      <c r="CU53" s="35">
        <v>300</v>
      </c>
    </row>
    <row r="54" spans="1:99" x14ac:dyDescent="0.25">
      <c r="A54" s="3" t="s">
        <v>48</v>
      </c>
      <c r="B54" s="14"/>
      <c r="C54" s="14"/>
      <c r="D54" s="14"/>
      <c r="E54" s="14"/>
      <c r="F54" s="14"/>
      <c r="G54" s="14"/>
      <c r="H54" s="14"/>
      <c r="I54" s="14"/>
      <c r="J54" s="52"/>
      <c r="K54" s="52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22">
        <v>400</v>
      </c>
      <c r="AF54" s="22">
        <v>90</v>
      </c>
      <c r="AG54" s="22">
        <v>160</v>
      </c>
      <c r="AH54" s="14"/>
      <c r="AI54" s="25">
        <v>980</v>
      </c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</row>
    <row r="55" spans="1:99" x14ac:dyDescent="0.25">
      <c r="A55" s="3" t="s">
        <v>49</v>
      </c>
      <c r="B55" s="14"/>
      <c r="C55" s="14"/>
      <c r="D55" s="14">
        <v>380</v>
      </c>
      <c r="E55" s="14">
        <v>350</v>
      </c>
      <c r="F55" s="14"/>
      <c r="G55" s="14"/>
      <c r="H55" s="14"/>
      <c r="I55" s="14"/>
      <c r="J55" s="52"/>
      <c r="K55" s="52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22">
        <v>400</v>
      </c>
      <c r="AF55" s="22">
        <v>90</v>
      </c>
      <c r="AG55" s="22">
        <v>160</v>
      </c>
      <c r="AH55" s="14"/>
      <c r="AI55" s="25">
        <v>980</v>
      </c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</row>
    <row r="56" spans="1:99" x14ac:dyDescent="0.25">
      <c r="A56" s="3" t="s">
        <v>52</v>
      </c>
      <c r="B56" s="14">
        <v>1750</v>
      </c>
      <c r="C56" s="14">
        <v>1420</v>
      </c>
      <c r="D56" s="14">
        <v>380</v>
      </c>
      <c r="E56" s="14">
        <v>340</v>
      </c>
      <c r="F56" s="14"/>
      <c r="G56" s="14"/>
      <c r="H56" s="14"/>
      <c r="I56" s="14"/>
      <c r="J56" s="52">
        <v>760</v>
      </c>
      <c r="K56" s="52"/>
      <c r="L56" s="14"/>
      <c r="M56" s="14"/>
      <c r="N56" s="14">
        <v>650</v>
      </c>
      <c r="O56" s="14"/>
      <c r="P56" s="14"/>
      <c r="Q56" s="14"/>
      <c r="R56" s="14"/>
      <c r="S56" s="14"/>
      <c r="T56" s="14">
        <v>350</v>
      </c>
      <c r="U56" s="14">
        <v>320</v>
      </c>
      <c r="V56" s="14">
        <v>200</v>
      </c>
      <c r="W56" s="14"/>
      <c r="X56" s="14"/>
      <c r="Y56" s="14"/>
      <c r="Z56" s="14"/>
      <c r="AA56" s="14"/>
      <c r="AB56" s="14"/>
      <c r="AC56" s="14"/>
      <c r="AD56" s="14"/>
      <c r="AE56" s="22">
        <v>400</v>
      </c>
      <c r="AF56" s="22">
        <v>90</v>
      </c>
      <c r="AG56" s="22">
        <v>160</v>
      </c>
      <c r="AH56" s="14"/>
      <c r="AI56" s="25">
        <v>980</v>
      </c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>
        <v>280</v>
      </c>
      <c r="AZ56" s="14"/>
      <c r="BA56" s="14"/>
      <c r="BB56" s="14"/>
      <c r="BC56" s="14"/>
      <c r="BD56" s="14"/>
      <c r="BE56" s="14"/>
      <c r="BF56" s="14"/>
      <c r="BG56" s="14">
        <v>650</v>
      </c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</row>
    <row r="57" spans="1:99" ht="15.75" customHeight="1" x14ac:dyDescent="0.25">
      <c r="A57" s="3" t="s">
        <v>17</v>
      </c>
      <c r="B57" s="14"/>
      <c r="C57" s="14"/>
      <c r="D57" s="14"/>
      <c r="E57" s="14"/>
      <c r="F57" s="14"/>
      <c r="G57" s="14"/>
      <c r="H57" s="14"/>
      <c r="I57" s="14"/>
      <c r="J57" s="52"/>
      <c r="K57" s="52"/>
      <c r="L57" s="14"/>
      <c r="M57" s="14"/>
      <c r="N57" s="14"/>
      <c r="O57" s="14"/>
      <c r="P57" s="14"/>
      <c r="Q57" s="14">
        <v>800</v>
      </c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22">
        <v>400</v>
      </c>
      <c r="AF57" s="22">
        <v>90</v>
      </c>
      <c r="AG57" s="22">
        <v>160</v>
      </c>
      <c r="AH57" s="14"/>
      <c r="AI57" s="25">
        <v>980</v>
      </c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</row>
    <row r="58" spans="1:99" s="35" customFormat="1" x14ac:dyDescent="0.25">
      <c r="A58" s="34" t="s">
        <v>50</v>
      </c>
      <c r="B58" s="26">
        <v>1620</v>
      </c>
      <c r="C58" s="26">
        <v>1460</v>
      </c>
      <c r="D58" s="26">
        <v>960</v>
      </c>
      <c r="E58" s="26">
        <v>620</v>
      </c>
      <c r="F58" s="26"/>
      <c r="G58" s="26"/>
      <c r="H58" s="26"/>
      <c r="I58" s="26"/>
      <c r="J58" s="55">
        <v>560</v>
      </c>
      <c r="K58" s="55"/>
      <c r="L58" s="26"/>
      <c r="M58" s="26"/>
      <c r="N58" s="26">
        <v>650</v>
      </c>
      <c r="O58" s="26">
        <v>490</v>
      </c>
      <c r="P58" s="26"/>
      <c r="Q58" s="26"/>
      <c r="R58" s="26">
        <v>340</v>
      </c>
      <c r="S58" s="26"/>
      <c r="T58" s="26">
        <v>350</v>
      </c>
      <c r="U58" s="26">
        <v>320</v>
      </c>
      <c r="V58" s="26">
        <v>200</v>
      </c>
      <c r="W58" s="26">
        <v>600</v>
      </c>
      <c r="X58" s="26">
        <v>980</v>
      </c>
      <c r="Y58" s="26"/>
      <c r="Z58" s="26"/>
      <c r="AA58" s="26"/>
      <c r="AB58" s="26"/>
      <c r="AC58" s="26"/>
      <c r="AD58" s="26"/>
      <c r="AE58" s="26">
        <v>400</v>
      </c>
      <c r="AF58" s="26">
        <v>90</v>
      </c>
      <c r="AG58" s="26">
        <v>160</v>
      </c>
      <c r="AH58" s="26"/>
      <c r="AI58" s="26">
        <v>980</v>
      </c>
      <c r="AJ58" s="26"/>
      <c r="AK58" s="26"/>
      <c r="AL58" s="26"/>
      <c r="AM58" s="26"/>
      <c r="AN58" s="26"/>
      <c r="AO58" s="26">
        <v>480</v>
      </c>
      <c r="AP58" s="26"/>
      <c r="AQ58" s="26"/>
      <c r="AR58" s="26">
        <v>220</v>
      </c>
      <c r="AS58" s="26">
        <v>280</v>
      </c>
      <c r="AT58" s="26">
        <v>250</v>
      </c>
      <c r="AU58" s="26"/>
      <c r="AV58" s="26"/>
      <c r="AW58" s="26">
        <v>750</v>
      </c>
      <c r="AX58" s="26">
        <v>450</v>
      </c>
      <c r="AY58" s="26">
        <v>280</v>
      </c>
      <c r="AZ58" s="26">
        <v>640</v>
      </c>
      <c r="BA58" s="26">
        <v>3860</v>
      </c>
      <c r="BB58" s="26">
        <v>840</v>
      </c>
      <c r="BC58" s="26">
        <v>750</v>
      </c>
      <c r="BD58" s="26"/>
      <c r="BE58" s="26">
        <v>750</v>
      </c>
      <c r="BF58" s="26"/>
      <c r="BG58" s="26">
        <v>550</v>
      </c>
      <c r="BH58" s="26">
        <v>450</v>
      </c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M58" s="35">
        <v>180</v>
      </c>
    </row>
    <row r="59" spans="1:99" s="38" customFormat="1" x14ac:dyDescent="0.25">
      <c r="A59" s="36" t="s">
        <v>51</v>
      </c>
      <c r="B59" s="37">
        <v>1620</v>
      </c>
      <c r="C59" s="37">
        <v>1460</v>
      </c>
      <c r="D59" s="37">
        <v>960</v>
      </c>
      <c r="E59" s="37">
        <v>620</v>
      </c>
      <c r="F59" s="37"/>
      <c r="G59" s="37"/>
      <c r="H59" s="37"/>
      <c r="I59" s="37"/>
      <c r="J59" s="56">
        <v>560</v>
      </c>
      <c r="K59" s="56"/>
      <c r="L59" s="37"/>
      <c r="M59" s="37"/>
      <c r="N59" s="37">
        <v>965</v>
      </c>
      <c r="O59" s="37">
        <v>585</v>
      </c>
      <c r="P59" s="37"/>
      <c r="Q59" s="37">
        <v>1850</v>
      </c>
      <c r="R59" s="37">
        <v>340</v>
      </c>
      <c r="S59" s="37">
        <v>200</v>
      </c>
      <c r="T59" s="37">
        <v>340</v>
      </c>
      <c r="U59" s="37">
        <v>320</v>
      </c>
      <c r="V59" s="37">
        <v>200</v>
      </c>
      <c r="W59" s="37">
        <v>1600</v>
      </c>
      <c r="X59" s="37">
        <v>230</v>
      </c>
      <c r="Y59" s="37">
        <v>850</v>
      </c>
      <c r="Z59" s="37"/>
      <c r="AA59" s="37"/>
      <c r="AB59" s="37"/>
      <c r="AC59" s="37">
        <v>920</v>
      </c>
      <c r="AD59" s="37"/>
      <c r="AE59" s="37">
        <v>400</v>
      </c>
      <c r="AF59" s="37">
        <v>80</v>
      </c>
      <c r="AG59" s="37">
        <v>170</v>
      </c>
      <c r="AH59" s="37"/>
      <c r="AI59" s="37">
        <v>980</v>
      </c>
      <c r="AJ59" s="37"/>
      <c r="AK59" s="37"/>
      <c r="AL59" s="37">
        <v>350</v>
      </c>
      <c r="AM59" s="37"/>
      <c r="AN59" s="37"/>
      <c r="AO59" s="37"/>
      <c r="AP59" s="37"/>
      <c r="AQ59" s="37"/>
      <c r="AR59" s="37"/>
      <c r="AS59" s="37"/>
      <c r="AT59" s="37"/>
      <c r="AU59" s="37">
        <v>480</v>
      </c>
      <c r="AV59" s="37">
        <v>560</v>
      </c>
      <c r="AW59" s="37"/>
      <c r="AX59" s="37"/>
      <c r="AY59" s="37">
        <v>340</v>
      </c>
      <c r="AZ59" s="37"/>
      <c r="BA59" s="37"/>
      <c r="BB59" s="37">
        <v>920</v>
      </c>
      <c r="BC59" s="37">
        <v>1260</v>
      </c>
      <c r="BD59" s="37">
        <v>1340</v>
      </c>
      <c r="BE59" s="37"/>
      <c r="BF59" s="37"/>
      <c r="BG59" s="37">
        <v>550</v>
      </c>
      <c r="BH59" s="37"/>
      <c r="BI59" s="37">
        <v>860</v>
      </c>
      <c r="BJ59" s="37"/>
      <c r="BK59" s="37"/>
      <c r="BL59" s="37"/>
      <c r="BM59" s="37"/>
      <c r="BN59" s="37"/>
      <c r="BO59" s="37">
        <v>2280</v>
      </c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>
        <v>1280</v>
      </c>
      <c r="CA59" s="37"/>
      <c r="CB59" s="37"/>
      <c r="CE59" s="38">
        <v>680</v>
      </c>
      <c r="CO59" s="38">
        <v>480</v>
      </c>
    </row>
    <row r="60" spans="1:99" x14ac:dyDescent="0.25">
      <c r="A60" s="3">
        <v>110</v>
      </c>
      <c r="B60" s="14">
        <v>1620</v>
      </c>
      <c r="C60" s="14">
        <v>1460</v>
      </c>
      <c r="D60" s="22">
        <v>550</v>
      </c>
      <c r="E60" s="22">
        <v>480</v>
      </c>
      <c r="F60" s="14"/>
      <c r="G60" s="14"/>
      <c r="H60" s="14"/>
      <c r="I60" s="14"/>
      <c r="J60" s="52">
        <v>760</v>
      </c>
      <c r="K60" s="52"/>
      <c r="L60" s="14"/>
      <c r="M60" s="14"/>
      <c r="N60" s="14">
        <v>965</v>
      </c>
      <c r="O60" s="14">
        <v>585</v>
      </c>
      <c r="P60" s="14"/>
      <c r="Q60" s="14">
        <v>1850</v>
      </c>
      <c r="R60" s="14">
        <v>340</v>
      </c>
      <c r="S60" s="14"/>
      <c r="T60" s="14">
        <v>450</v>
      </c>
      <c r="U60" s="14">
        <v>320</v>
      </c>
      <c r="V60" s="14">
        <v>200</v>
      </c>
      <c r="W60" s="14">
        <v>1600</v>
      </c>
      <c r="X60" s="14"/>
      <c r="Y60" s="14"/>
      <c r="Z60" s="14"/>
      <c r="AA60" s="14"/>
      <c r="AB60" s="14"/>
      <c r="AC60" s="14">
        <v>920</v>
      </c>
      <c r="AD60" s="14"/>
      <c r="AE60" s="22">
        <v>300</v>
      </c>
      <c r="AF60" s="22">
        <v>70</v>
      </c>
      <c r="AG60" s="22">
        <v>160</v>
      </c>
      <c r="AH60" s="14">
        <v>90</v>
      </c>
      <c r="AI60" s="25">
        <v>980</v>
      </c>
      <c r="AJ60" s="14"/>
      <c r="AK60" s="14"/>
      <c r="AL60" s="14">
        <v>350</v>
      </c>
      <c r="AM60" s="14"/>
      <c r="AN60" s="14"/>
      <c r="AO60" s="14"/>
      <c r="AP60" s="14"/>
      <c r="AQ60" s="14"/>
      <c r="AR60" s="14"/>
      <c r="AS60" s="14"/>
      <c r="AT60" s="14"/>
      <c r="AU60" s="14">
        <v>480</v>
      </c>
      <c r="AV60" s="14">
        <v>560</v>
      </c>
      <c r="AW60" s="14"/>
      <c r="AX60" s="14"/>
      <c r="AY60" s="14">
        <v>340</v>
      </c>
      <c r="AZ60" s="14"/>
      <c r="BA60" s="14"/>
      <c r="BB60" s="14">
        <v>920</v>
      </c>
      <c r="BC60" s="14">
        <v>1260</v>
      </c>
      <c r="BD60" s="14">
        <v>1340</v>
      </c>
      <c r="BE60" s="14"/>
      <c r="BF60" s="14"/>
      <c r="BG60" s="14"/>
      <c r="BH60" s="14"/>
      <c r="BI60" s="14">
        <v>860</v>
      </c>
      <c r="BJ60" s="14"/>
      <c r="BK60" s="14"/>
      <c r="BL60" s="14"/>
      <c r="BM60" s="14"/>
      <c r="BN60" s="14"/>
      <c r="BO60" s="14">
        <v>2280</v>
      </c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>
        <v>1280</v>
      </c>
      <c r="CA60" s="14"/>
      <c r="CB60" s="14"/>
      <c r="CI60" s="2">
        <v>3850</v>
      </c>
    </row>
    <row r="61" spans="1:99" x14ac:dyDescent="0.25">
      <c r="A61" s="3" t="s">
        <v>337</v>
      </c>
      <c r="B61" s="19">
        <v>2850</v>
      </c>
      <c r="C61" s="19">
        <v>1200</v>
      </c>
      <c r="D61" s="22">
        <v>680</v>
      </c>
      <c r="E61" s="22">
        <v>480</v>
      </c>
      <c r="F61" s="14"/>
      <c r="G61" s="14"/>
      <c r="H61" s="14"/>
      <c r="I61" s="14"/>
      <c r="J61" s="52">
        <v>750</v>
      </c>
      <c r="K61" s="52"/>
      <c r="L61" s="14"/>
      <c r="M61" s="14"/>
      <c r="N61" s="14"/>
      <c r="O61" s="14"/>
      <c r="P61" s="14"/>
      <c r="Q61" s="14"/>
      <c r="R61" s="14">
        <v>320</v>
      </c>
      <c r="S61" s="14"/>
      <c r="T61" s="19">
        <v>890</v>
      </c>
      <c r="U61" s="14"/>
      <c r="V61" s="14">
        <v>200</v>
      </c>
      <c r="W61" s="14"/>
      <c r="X61" s="14"/>
      <c r="Y61" s="14"/>
      <c r="Z61" s="14"/>
      <c r="AA61" s="14"/>
      <c r="AB61" s="14"/>
      <c r="AC61" s="14"/>
      <c r="AD61" s="14"/>
      <c r="AE61" s="22">
        <v>700</v>
      </c>
      <c r="AF61" s="22">
        <v>140</v>
      </c>
      <c r="AG61" s="22">
        <v>260</v>
      </c>
      <c r="AH61" s="14"/>
      <c r="AI61" s="25">
        <v>980</v>
      </c>
      <c r="AJ61" s="14">
        <v>1480</v>
      </c>
      <c r="AK61" s="14"/>
      <c r="AL61" s="14"/>
      <c r="AM61" s="14"/>
      <c r="AN61" s="14">
        <v>160</v>
      </c>
      <c r="AO61" s="14">
        <v>200</v>
      </c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</row>
    <row r="62" spans="1:99" x14ac:dyDescent="0.25">
      <c r="A62" s="3" t="s">
        <v>56</v>
      </c>
      <c r="B62" s="14"/>
      <c r="C62" s="14"/>
      <c r="D62" s="14"/>
      <c r="E62" s="14"/>
      <c r="F62" s="14"/>
      <c r="G62" s="14"/>
      <c r="H62" s="14"/>
      <c r="I62" s="14"/>
      <c r="J62" s="52"/>
      <c r="K62" s="52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>
        <v>300</v>
      </c>
      <c r="AF62" s="14">
        <v>70</v>
      </c>
      <c r="AG62" s="14">
        <v>160</v>
      </c>
      <c r="AH62" s="14"/>
      <c r="AI62" s="25">
        <v>980</v>
      </c>
      <c r="AJ62" s="14"/>
      <c r="AK62" s="14">
        <v>220</v>
      </c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>
        <v>240</v>
      </c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>
        <v>1250</v>
      </c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</row>
    <row r="63" spans="1:99" x14ac:dyDescent="0.25">
      <c r="A63" s="3" t="s">
        <v>224</v>
      </c>
      <c r="B63" s="14"/>
      <c r="C63" s="14"/>
      <c r="D63" s="14">
        <v>380</v>
      </c>
      <c r="E63" s="14">
        <v>350</v>
      </c>
      <c r="F63" s="14"/>
      <c r="G63" s="14"/>
      <c r="H63" s="14"/>
      <c r="I63" s="14"/>
      <c r="J63" s="52">
        <v>630</v>
      </c>
      <c r="K63" s="52"/>
      <c r="L63" s="14"/>
      <c r="M63" s="14"/>
      <c r="N63" s="14"/>
      <c r="O63" s="14"/>
      <c r="P63" s="14"/>
      <c r="Q63" s="14"/>
      <c r="R63" s="14">
        <v>340</v>
      </c>
      <c r="S63" s="14">
        <v>200</v>
      </c>
      <c r="T63" s="14">
        <v>320</v>
      </c>
      <c r="U63" s="14">
        <v>280</v>
      </c>
      <c r="V63" s="14">
        <v>210</v>
      </c>
      <c r="W63" s="14"/>
      <c r="X63" s="14"/>
      <c r="Y63" s="14"/>
      <c r="Z63" s="14"/>
      <c r="AA63" s="14"/>
      <c r="AB63" s="14"/>
      <c r="AC63" s="14"/>
      <c r="AD63" s="14"/>
      <c r="AE63" s="14">
        <v>250</v>
      </c>
      <c r="AF63" s="14">
        <v>60</v>
      </c>
      <c r="AG63" s="14">
        <v>110</v>
      </c>
      <c r="AH63" s="14"/>
      <c r="AI63" s="25">
        <v>980</v>
      </c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</row>
    <row r="64" spans="1:99" s="35" customFormat="1" x14ac:dyDescent="0.25">
      <c r="A64" s="34" t="s">
        <v>54</v>
      </c>
      <c r="B64" s="26">
        <v>1620</v>
      </c>
      <c r="C64" s="26">
        <v>2300</v>
      </c>
      <c r="D64" s="26">
        <v>960</v>
      </c>
      <c r="E64" s="26">
        <v>620</v>
      </c>
      <c r="F64" s="26"/>
      <c r="G64" s="26"/>
      <c r="H64" s="26">
        <v>200</v>
      </c>
      <c r="I64" s="26"/>
      <c r="J64" s="26">
        <v>960</v>
      </c>
      <c r="K64" s="26">
        <v>800</v>
      </c>
      <c r="L64" s="26"/>
      <c r="M64" s="26"/>
      <c r="N64" s="26"/>
      <c r="O64" s="26"/>
      <c r="P64" s="26"/>
      <c r="Q64" s="26"/>
      <c r="R64" s="26">
        <v>340</v>
      </c>
      <c r="S64" s="26">
        <v>200</v>
      </c>
      <c r="T64" s="26">
        <v>650</v>
      </c>
      <c r="U64" s="26">
        <v>550</v>
      </c>
      <c r="V64" s="26">
        <v>300</v>
      </c>
      <c r="W64" s="26">
        <v>960</v>
      </c>
      <c r="X64" s="26">
        <v>960</v>
      </c>
      <c r="Y64" s="26"/>
      <c r="Z64" s="26"/>
      <c r="AA64" s="26"/>
      <c r="AB64" s="26"/>
      <c r="AC64" s="26"/>
      <c r="AD64" s="26"/>
      <c r="AE64" s="26">
        <v>600</v>
      </c>
      <c r="AF64" s="26">
        <v>110</v>
      </c>
      <c r="AG64" s="26">
        <v>260</v>
      </c>
      <c r="AH64" s="26"/>
      <c r="AI64" s="26">
        <v>980</v>
      </c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>
        <f>75*20</f>
        <v>1500</v>
      </c>
      <c r="BE64" s="26"/>
      <c r="BF64" s="26"/>
      <c r="BG64" s="26">
        <v>850</v>
      </c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</row>
    <row r="65" spans="1:87" ht="15.75" customHeight="1" x14ac:dyDescent="0.25">
      <c r="A65" s="4" t="s">
        <v>212</v>
      </c>
      <c r="B65" s="14"/>
      <c r="C65" s="14"/>
      <c r="D65" s="14"/>
      <c r="E65" s="14"/>
      <c r="F65" s="14"/>
      <c r="G65" s="14"/>
      <c r="H65" s="14"/>
      <c r="I65" s="14"/>
      <c r="J65" s="52"/>
      <c r="K65" s="52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</row>
    <row r="66" spans="1:87" s="35" customFormat="1" x14ac:dyDescent="0.25">
      <c r="A66" s="34" t="s">
        <v>57</v>
      </c>
      <c r="B66" s="26">
        <v>3860</v>
      </c>
      <c r="C66" s="26">
        <v>2480</v>
      </c>
      <c r="D66" s="26">
        <v>960</v>
      </c>
      <c r="E66" s="26">
        <v>640</v>
      </c>
      <c r="F66" s="26"/>
      <c r="G66" s="26"/>
      <c r="H66" s="26"/>
      <c r="I66" s="26"/>
      <c r="J66" s="55">
        <v>780</v>
      </c>
      <c r="K66" s="55"/>
      <c r="L66" s="26"/>
      <c r="M66" s="26"/>
      <c r="N66" s="26"/>
      <c r="O66" s="26">
        <v>450</v>
      </c>
      <c r="P66" s="26"/>
      <c r="Q66" s="26"/>
      <c r="R66" s="26">
        <v>340</v>
      </c>
      <c r="S66" s="26"/>
      <c r="T66" s="26">
        <v>320</v>
      </c>
      <c r="U66" s="26">
        <v>320</v>
      </c>
      <c r="V66" s="26">
        <v>200</v>
      </c>
      <c r="W66" s="26"/>
      <c r="X66" s="26"/>
      <c r="Y66" s="26"/>
      <c r="Z66" s="26"/>
      <c r="AA66" s="26"/>
      <c r="AB66" s="26"/>
      <c r="AC66" s="26"/>
      <c r="AD66" s="26"/>
      <c r="AE66" s="26">
        <v>600</v>
      </c>
      <c r="AF66" s="26">
        <v>160</v>
      </c>
      <c r="AG66" s="26">
        <v>285</v>
      </c>
      <c r="AH66" s="26">
        <v>180</v>
      </c>
      <c r="AI66" s="26">
        <v>1200</v>
      </c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>
        <v>850</v>
      </c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</row>
    <row r="67" spans="1:87" ht="14.25" customHeight="1" x14ac:dyDescent="0.25">
      <c r="A67" s="3" t="s">
        <v>58</v>
      </c>
      <c r="B67" s="14"/>
      <c r="C67" s="14"/>
      <c r="D67" s="50">
        <v>960</v>
      </c>
      <c r="E67" s="50">
        <v>640</v>
      </c>
      <c r="F67" s="14"/>
      <c r="G67" s="14"/>
      <c r="H67" s="14"/>
      <c r="I67" s="14"/>
      <c r="J67" s="52"/>
      <c r="K67" s="52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>
        <v>300</v>
      </c>
      <c r="AF67" s="14">
        <v>70</v>
      </c>
      <c r="AG67" s="14">
        <v>160</v>
      </c>
      <c r="AH67" s="14"/>
      <c r="AI67" s="22">
        <v>1200</v>
      </c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</row>
    <row r="68" spans="1:87" s="38" customFormat="1" x14ac:dyDescent="0.25">
      <c r="A68" s="36" t="s">
        <v>59</v>
      </c>
      <c r="B68" s="37">
        <v>3860</v>
      </c>
      <c r="C68" s="37"/>
      <c r="D68" s="50">
        <v>960</v>
      </c>
      <c r="E68" s="50">
        <v>640</v>
      </c>
      <c r="F68" s="37"/>
      <c r="G68" s="37"/>
      <c r="H68" s="37"/>
      <c r="I68" s="37"/>
      <c r="J68" s="56"/>
      <c r="K68" s="56"/>
      <c r="L68" s="37"/>
      <c r="M68" s="37"/>
      <c r="N68" s="37"/>
      <c r="O68" s="37"/>
      <c r="P68" s="37"/>
      <c r="Q68" s="37"/>
      <c r="R68" s="37"/>
      <c r="S68" s="37"/>
      <c r="T68" s="37">
        <v>580</v>
      </c>
      <c r="U68" s="37">
        <v>780</v>
      </c>
      <c r="V68" s="37">
        <v>450</v>
      </c>
      <c r="W68" s="37"/>
      <c r="X68" s="37"/>
      <c r="Y68" s="37"/>
      <c r="Z68" s="37"/>
      <c r="AA68" s="37"/>
      <c r="AB68" s="37"/>
      <c r="AC68" s="37"/>
      <c r="AD68" s="37"/>
      <c r="AE68" s="37">
        <v>600</v>
      </c>
      <c r="AF68" s="37">
        <v>160</v>
      </c>
      <c r="AG68" s="37">
        <v>285</v>
      </c>
      <c r="AH68" s="37">
        <v>180</v>
      </c>
      <c r="AI68" s="37">
        <v>1200</v>
      </c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>
        <v>1280</v>
      </c>
      <c r="AV68" s="37"/>
      <c r="AW68" s="37"/>
      <c r="AX68" s="37">
        <v>650</v>
      </c>
      <c r="AY68" s="37"/>
      <c r="AZ68" s="37"/>
      <c r="BA68" s="37"/>
      <c r="BB68" s="37"/>
      <c r="BC68" s="37"/>
      <c r="BD68" s="37"/>
      <c r="BE68" s="37"/>
      <c r="BF68" s="37"/>
      <c r="BG68" s="37">
        <v>1150</v>
      </c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</row>
    <row r="69" spans="1:87" s="38" customFormat="1" ht="14.25" customHeight="1" x14ac:dyDescent="0.25">
      <c r="A69" s="36" t="s">
        <v>53</v>
      </c>
      <c r="B69" s="37">
        <v>4200</v>
      </c>
      <c r="C69" s="37">
        <v>2480</v>
      </c>
      <c r="D69" s="50">
        <v>1120</v>
      </c>
      <c r="E69" s="50">
        <v>640</v>
      </c>
      <c r="F69" s="37"/>
      <c r="G69" s="37"/>
      <c r="H69" s="37">
        <v>200</v>
      </c>
      <c r="I69" s="37"/>
      <c r="J69" s="56">
        <v>980</v>
      </c>
      <c r="K69" s="56"/>
      <c r="L69" s="37"/>
      <c r="M69" s="37">
        <v>540</v>
      </c>
      <c r="N69" s="37"/>
      <c r="O69" s="37">
        <v>760</v>
      </c>
      <c r="P69" s="37">
        <v>2400</v>
      </c>
      <c r="Q69" s="37"/>
      <c r="R69" s="37">
        <v>850</v>
      </c>
      <c r="S69" s="37">
        <v>250</v>
      </c>
      <c r="T69" s="37">
        <v>680</v>
      </c>
      <c r="U69" s="37">
        <v>550</v>
      </c>
      <c r="V69" s="37">
        <v>200</v>
      </c>
      <c r="W69" s="37"/>
      <c r="X69" s="37"/>
      <c r="Y69" s="37"/>
      <c r="Z69" s="37"/>
      <c r="AA69" s="37"/>
      <c r="AB69" s="37"/>
      <c r="AC69" s="37"/>
      <c r="AD69" s="37"/>
      <c r="AE69" s="37">
        <v>600</v>
      </c>
      <c r="AF69" s="37">
        <v>160</v>
      </c>
      <c r="AG69" s="37">
        <v>350</v>
      </c>
      <c r="AH69" s="37">
        <v>180</v>
      </c>
      <c r="AI69" s="37">
        <v>1200</v>
      </c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>
        <v>1960</v>
      </c>
      <c r="AX69" s="37">
        <v>550</v>
      </c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>
        <v>1850</v>
      </c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</row>
    <row r="70" spans="1:87" s="38" customFormat="1" x14ac:dyDescent="0.25">
      <c r="A70" s="36" t="s">
        <v>60</v>
      </c>
      <c r="B70" s="37">
        <v>4200</v>
      </c>
      <c r="C70" s="37"/>
      <c r="D70" s="50">
        <v>960</v>
      </c>
      <c r="E70" s="50">
        <v>640</v>
      </c>
      <c r="F70" s="37"/>
      <c r="G70" s="37"/>
      <c r="H70" s="37">
        <v>200</v>
      </c>
      <c r="I70" s="37"/>
      <c r="J70" s="56"/>
      <c r="K70" s="56"/>
      <c r="L70" s="37"/>
      <c r="M70" s="37"/>
      <c r="N70" s="37"/>
      <c r="O70" s="37">
        <v>760</v>
      </c>
      <c r="P70" s="37">
        <v>2600</v>
      </c>
      <c r="Q70" s="37"/>
      <c r="R70" s="37"/>
      <c r="S70" s="37"/>
      <c r="T70" s="37">
        <v>350</v>
      </c>
      <c r="U70" s="37">
        <v>350</v>
      </c>
      <c r="V70" s="37">
        <v>200</v>
      </c>
      <c r="W70" s="37"/>
      <c r="X70" s="37"/>
      <c r="Y70" s="37"/>
      <c r="Z70" s="37"/>
      <c r="AA70" s="37"/>
      <c r="AB70" s="37"/>
      <c r="AC70" s="37"/>
      <c r="AD70" s="37"/>
      <c r="AE70" s="37">
        <v>600</v>
      </c>
      <c r="AF70" s="37">
        <v>160</v>
      </c>
      <c r="AG70" s="37">
        <v>350</v>
      </c>
      <c r="AH70" s="37">
        <v>180</v>
      </c>
      <c r="AI70" s="37">
        <v>1200</v>
      </c>
      <c r="AJ70" s="37"/>
      <c r="AK70" s="37"/>
      <c r="AL70" s="37"/>
      <c r="AM70" s="37">
        <v>200</v>
      </c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I70" s="38">
        <v>4200</v>
      </c>
    </row>
    <row r="71" spans="1:87" x14ac:dyDescent="0.25">
      <c r="A71" s="3" t="s">
        <v>61</v>
      </c>
      <c r="B71" s="14"/>
      <c r="C71" s="14"/>
      <c r="D71" s="50">
        <v>960</v>
      </c>
      <c r="E71" s="50">
        <v>640</v>
      </c>
      <c r="F71" s="14"/>
      <c r="G71" s="14"/>
      <c r="H71" s="14"/>
      <c r="I71" s="14"/>
      <c r="J71" s="52"/>
      <c r="K71" s="52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>
        <v>50</v>
      </c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</row>
    <row r="72" spans="1:87" x14ac:dyDescent="0.25">
      <c r="A72" s="3">
        <f>+[1]NEW!$J$5</f>
        <v>0</v>
      </c>
      <c r="B72" s="14"/>
      <c r="C72" s="14"/>
      <c r="D72" s="50">
        <v>960</v>
      </c>
      <c r="E72" s="50">
        <v>640</v>
      </c>
      <c r="F72" s="14"/>
      <c r="G72" s="14"/>
      <c r="H72" s="14"/>
      <c r="I72" s="14"/>
      <c r="J72" s="52"/>
      <c r="K72" s="52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>
        <v>300</v>
      </c>
      <c r="AF72" s="14">
        <v>70</v>
      </c>
      <c r="AG72" s="14">
        <v>160</v>
      </c>
      <c r="AH72" s="14"/>
      <c r="AI72" s="14"/>
      <c r="AJ72" s="14"/>
      <c r="AK72" s="14"/>
      <c r="AL72" s="14"/>
      <c r="AM72" s="14">
        <v>80</v>
      </c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</row>
    <row r="73" spans="1:87" x14ac:dyDescent="0.25">
      <c r="A73" s="4" t="s">
        <v>333</v>
      </c>
      <c r="B73" s="14"/>
      <c r="C73" s="14"/>
      <c r="D73" s="50">
        <v>960</v>
      </c>
      <c r="E73" s="50">
        <v>640</v>
      </c>
      <c r="F73" s="14"/>
      <c r="G73" s="14"/>
      <c r="H73" s="14"/>
      <c r="I73" s="14"/>
      <c r="J73" s="52"/>
      <c r="K73" s="52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25">
        <v>700</v>
      </c>
      <c r="AF73" s="25">
        <v>140</v>
      </c>
      <c r="AG73" s="25">
        <v>220</v>
      </c>
      <c r="AH73" s="25">
        <v>180</v>
      </c>
      <c r="AI73" s="14"/>
      <c r="AJ73" s="14"/>
      <c r="AK73" s="14"/>
      <c r="AL73" s="14"/>
      <c r="AM73" s="14">
        <v>50</v>
      </c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</row>
    <row r="74" spans="1:87" x14ac:dyDescent="0.25">
      <c r="B74" s="14"/>
      <c r="C74" s="14"/>
      <c r="D74" s="14"/>
      <c r="E74" s="14"/>
      <c r="F74" s="14"/>
      <c r="G74" s="14"/>
      <c r="H74" s="14"/>
      <c r="I74" s="14"/>
      <c r="J74" s="52"/>
      <c r="K74" s="52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>
        <v>100</v>
      </c>
      <c r="AN74" s="14"/>
      <c r="AO74" s="14"/>
      <c r="AP74" s="14">
        <v>110</v>
      </c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</row>
    <row r="75" spans="1:87" x14ac:dyDescent="0.25">
      <c r="A75" s="4" t="s">
        <v>10</v>
      </c>
      <c r="B75" s="15"/>
      <c r="C75" s="15"/>
      <c r="D75" s="15"/>
      <c r="E75" s="15"/>
      <c r="F75" s="15"/>
      <c r="G75" s="15"/>
      <c r="H75" s="15"/>
      <c r="I75" s="15"/>
      <c r="J75" s="57"/>
      <c r="K75" s="57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>
        <v>250</v>
      </c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</row>
    <row r="76" spans="1:87" s="33" customFormat="1" x14ac:dyDescent="0.25">
      <c r="A76" s="31" t="s">
        <v>65</v>
      </c>
      <c r="B76" s="32">
        <v>6380</v>
      </c>
      <c r="C76" s="32">
        <v>2890</v>
      </c>
      <c r="D76" s="32">
        <v>1280</v>
      </c>
      <c r="E76" s="32">
        <v>820</v>
      </c>
      <c r="F76" s="32">
        <v>350</v>
      </c>
      <c r="G76" s="32">
        <v>350</v>
      </c>
      <c r="H76" s="32">
        <v>400</v>
      </c>
      <c r="I76" s="32">
        <v>400</v>
      </c>
      <c r="J76" s="59"/>
      <c r="K76" s="59"/>
      <c r="L76" s="32">
        <v>3620</v>
      </c>
      <c r="M76" s="32">
        <v>5800</v>
      </c>
      <c r="N76" s="32">
        <v>1200</v>
      </c>
      <c r="O76" s="32">
        <v>1150</v>
      </c>
      <c r="P76" s="32">
        <v>480</v>
      </c>
      <c r="Q76" s="32">
        <v>8600</v>
      </c>
      <c r="R76" s="32"/>
      <c r="S76" s="32"/>
      <c r="T76" s="32">
        <v>980</v>
      </c>
      <c r="U76" s="32"/>
      <c r="V76" s="32">
        <v>480</v>
      </c>
      <c r="W76" s="32">
        <v>1600</v>
      </c>
      <c r="X76" s="32">
        <v>1600</v>
      </c>
      <c r="Y76" s="32">
        <v>2200</v>
      </c>
      <c r="Z76" s="32">
        <v>1350</v>
      </c>
      <c r="AA76" s="32">
        <v>2600</v>
      </c>
      <c r="AB76" s="32">
        <v>2600</v>
      </c>
      <c r="AC76" s="32">
        <v>3200</v>
      </c>
      <c r="AD76" s="32">
        <v>850</v>
      </c>
      <c r="AE76" s="32">
        <v>800</v>
      </c>
      <c r="AF76" s="32">
        <v>185</v>
      </c>
      <c r="AG76" s="32">
        <v>350</v>
      </c>
      <c r="AH76" s="32">
        <v>180</v>
      </c>
      <c r="AI76" s="32">
        <v>1650</v>
      </c>
      <c r="AJ76" s="32"/>
      <c r="AK76" s="32"/>
      <c r="AL76" s="32">
        <v>750</v>
      </c>
      <c r="AM76" s="32"/>
      <c r="AN76" s="32"/>
      <c r="AO76" s="32"/>
      <c r="AP76" s="32">
        <v>50</v>
      </c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>
        <v>1360</v>
      </c>
      <c r="BM76" s="32"/>
      <c r="BN76" s="32">
        <v>1100</v>
      </c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</row>
    <row r="77" spans="1:87" s="33" customFormat="1" x14ac:dyDescent="0.25">
      <c r="A77" s="31" t="s">
        <v>71</v>
      </c>
      <c r="B77" s="32">
        <v>6380</v>
      </c>
      <c r="C77" s="32">
        <v>2890</v>
      </c>
      <c r="D77" s="32">
        <v>1280</v>
      </c>
      <c r="E77" s="32">
        <v>820</v>
      </c>
      <c r="F77" s="32">
        <v>350</v>
      </c>
      <c r="G77" s="32">
        <v>350</v>
      </c>
      <c r="H77" s="32">
        <v>400</v>
      </c>
      <c r="I77" s="32">
        <v>400</v>
      </c>
      <c r="J77" s="59"/>
      <c r="K77" s="59"/>
      <c r="L77" s="32">
        <v>3620</v>
      </c>
      <c r="M77" s="32">
        <v>5800</v>
      </c>
      <c r="N77" s="32">
        <v>1200</v>
      </c>
      <c r="O77" s="32">
        <v>1150</v>
      </c>
      <c r="P77" s="32">
        <v>480</v>
      </c>
      <c r="Q77" s="32">
        <v>8600</v>
      </c>
      <c r="R77" s="32"/>
      <c r="S77" s="32"/>
      <c r="T77" s="32">
        <v>980</v>
      </c>
      <c r="U77" s="32"/>
      <c r="V77" s="32">
        <v>480</v>
      </c>
      <c r="W77" s="32">
        <v>1600</v>
      </c>
      <c r="X77" s="32">
        <v>1600</v>
      </c>
      <c r="Y77" s="32">
        <v>2200</v>
      </c>
      <c r="Z77" s="32">
        <v>1350</v>
      </c>
      <c r="AA77" s="32">
        <v>2600</v>
      </c>
      <c r="AB77" s="32">
        <v>2600</v>
      </c>
      <c r="AC77" s="32">
        <v>3200</v>
      </c>
      <c r="AD77" s="32">
        <v>850</v>
      </c>
      <c r="AE77" s="32">
        <v>800</v>
      </c>
      <c r="AF77" s="32">
        <v>185</v>
      </c>
      <c r="AG77" s="32">
        <v>350</v>
      </c>
      <c r="AH77" s="32">
        <v>180</v>
      </c>
      <c r="AI77" s="32">
        <v>1650</v>
      </c>
      <c r="AJ77" s="32"/>
      <c r="AK77" s="32"/>
      <c r="AL77" s="32">
        <v>750</v>
      </c>
      <c r="AM77" s="32"/>
      <c r="AN77" s="32"/>
      <c r="AO77" s="32"/>
      <c r="AP77" s="32">
        <v>720</v>
      </c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>
        <v>1360</v>
      </c>
      <c r="BM77" s="32"/>
      <c r="BN77" s="32">
        <v>1100</v>
      </c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</row>
    <row r="78" spans="1:87" s="33" customFormat="1" x14ac:dyDescent="0.25">
      <c r="A78" s="31" t="s">
        <v>309</v>
      </c>
      <c r="B78" s="32">
        <v>6380</v>
      </c>
      <c r="C78" s="32">
        <v>2890</v>
      </c>
      <c r="D78" s="32">
        <v>1280</v>
      </c>
      <c r="E78" s="32">
        <v>820</v>
      </c>
      <c r="F78" s="32">
        <v>350</v>
      </c>
      <c r="G78" s="32">
        <v>350</v>
      </c>
      <c r="H78" s="32">
        <v>400</v>
      </c>
      <c r="I78" s="32">
        <v>400</v>
      </c>
      <c r="J78" s="59"/>
      <c r="K78" s="59"/>
      <c r="L78" s="32">
        <v>3620</v>
      </c>
      <c r="M78" s="32">
        <v>5800</v>
      </c>
      <c r="N78" s="32">
        <v>1200</v>
      </c>
      <c r="O78" s="32">
        <v>1150</v>
      </c>
      <c r="P78" s="32">
        <v>480</v>
      </c>
      <c r="Q78" s="32">
        <v>8600</v>
      </c>
      <c r="R78" s="32"/>
      <c r="S78" s="32"/>
      <c r="T78" s="32">
        <v>980</v>
      </c>
      <c r="U78" s="32"/>
      <c r="V78" s="32">
        <v>480</v>
      </c>
      <c r="W78" s="32">
        <v>1600</v>
      </c>
      <c r="X78" s="32">
        <v>1600</v>
      </c>
      <c r="Y78" s="32">
        <v>2200</v>
      </c>
      <c r="Z78" s="32">
        <v>1350</v>
      </c>
      <c r="AA78" s="32">
        <v>2600</v>
      </c>
      <c r="AB78" s="32">
        <v>2600</v>
      </c>
      <c r="AC78" s="32">
        <v>3200</v>
      </c>
      <c r="AD78" s="32">
        <v>850</v>
      </c>
      <c r="AE78" s="32">
        <v>800</v>
      </c>
      <c r="AF78" s="32">
        <v>185</v>
      </c>
      <c r="AG78" s="32">
        <v>350</v>
      </c>
      <c r="AH78" s="32">
        <v>180</v>
      </c>
      <c r="AI78" s="32">
        <v>1650</v>
      </c>
      <c r="AJ78" s="32"/>
      <c r="AK78" s="32"/>
      <c r="AL78" s="32">
        <v>750</v>
      </c>
      <c r="AM78" s="32"/>
      <c r="AN78" s="32"/>
      <c r="AO78" s="32"/>
      <c r="AP78" s="32">
        <v>480</v>
      </c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>
        <v>1360</v>
      </c>
      <c r="BM78" s="32"/>
      <c r="BN78" s="32">
        <v>1100</v>
      </c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</row>
    <row r="79" spans="1:87" s="33" customFormat="1" x14ac:dyDescent="0.25">
      <c r="A79" s="31" t="s">
        <v>62</v>
      </c>
      <c r="B79" s="32">
        <v>6380</v>
      </c>
      <c r="C79" s="32">
        <v>2890</v>
      </c>
      <c r="D79" s="32">
        <v>1280</v>
      </c>
      <c r="E79" s="32">
        <v>820</v>
      </c>
      <c r="F79" s="32">
        <v>350</v>
      </c>
      <c r="G79" s="32">
        <v>350</v>
      </c>
      <c r="H79" s="32">
        <v>400</v>
      </c>
      <c r="I79" s="32">
        <v>400</v>
      </c>
      <c r="J79" s="59"/>
      <c r="K79" s="59"/>
      <c r="L79" s="32">
        <v>3620</v>
      </c>
      <c r="M79" s="32">
        <v>5800</v>
      </c>
      <c r="N79" s="32">
        <v>1200</v>
      </c>
      <c r="O79" s="32">
        <v>1150</v>
      </c>
      <c r="P79" s="32">
        <v>480</v>
      </c>
      <c r="Q79" s="32">
        <v>8600</v>
      </c>
      <c r="R79" s="32"/>
      <c r="S79" s="32"/>
      <c r="T79" s="32">
        <v>980</v>
      </c>
      <c r="U79" s="32"/>
      <c r="V79" s="32">
        <v>480</v>
      </c>
      <c r="W79" s="32">
        <v>1600</v>
      </c>
      <c r="X79" s="32">
        <v>1600</v>
      </c>
      <c r="Y79" s="32">
        <v>2200</v>
      </c>
      <c r="Z79" s="32">
        <v>1350</v>
      </c>
      <c r="AA79" s="32">
        <v>2600</v>
      </c>
      <c r="AB79" s="32">
        <v>2600</v>
      </c>
      <c r="AC79" s="32">
        <v>3200</v>
      </c>
      <c r="AD79" s="32">
        <v>850</v>
      </c>
      <c r="AE79" s="32">
        <v>800</v>
      </c>
      <c r="AF79" s="32">
        <v>185</v>
      </c>
      <c r="AG79" s="32">
        <v>350</v>
      </c>
      <c r="AH79" s="32">
        <v>180</v>
      </c>
      <c r="AI79" s="32">
        <v>1650</v>
      </c>
      <c r="AJ79" s="32"/>
      <c r="AK79" s="32"/>
      <c r="AL79" s="32">
        <v>750</v>
      </c>
      <c r="AM79" s="32"/>
      <c r="AN79" s="32"/>
      <c r="AO79" s="32"/>
      <c r="AP79" s="32">
        <v>460</v>
      </c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>
        <v>1360</v>
      </c>
      <c r="BM79" s="32"/>
      <c r="BN79" s="32">
        <v>1100</v>
      </c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</row>
    <row r="80" spans="1:87" s="33" customFormat="1" x14ac:dyDescent="0.25">
      <c r="A80" s="31" t="s">
        <v>69</v>
      </c>
      <c r="B80" s="32">
        <v>6380</v>
      </c>
      <c r="C80" s="32">
        <v>2890</v>
      </c>
      <c r="D80" s="32">
        <v>1280</v>
      </c>
      <c r="E80" s="32">
        <v>820</v>
      </c>
      <c r="F80" s="32">
        <v>1450</v>
      </c>
      <c r="G80" s="32">
        <v>350</v>
      </c>
      <c r="H80" s="32">
        <v>400</v>
      </c>
      <c r="I80" s="32">
        <v>400</v>
      </c>
      <c r="J80" s="59"/>
      <c r="K80" s="59"/>
      <c r="L80" s="32">
        <v>3620</v>
      </c>
      <c r="M80" s="32">
        <v>5800</v>
      </c>
      <c r="N80" s="32">
        <v>1200</v>
      </c>
      <c r="O80" s="32">
        <v>1150</v>
      </c>
      <c r="P80" s="32">
        <v>480</v>
      </c>
      <c r="Q80" s="32">
        <v>8600</v>
      </c>
      <c r="R80" s="32"/>
      <c r="S80" s="32"/>
      <c r="T80" s="32">
        <v>980</v>
      </c>
      <c r="U80" s="32"/>
      <c r="V80" s="32">
        <v>480</v>
      </c>
      <c r="W80" s="32">
        <v>1600</v>
      </c>
      <c r="X80" s="32">
        <v>1600</v>
      </c>
      <c r="Y80" s="32">
        <v>2200</v>
      </c>
      <c r="Z80" s="32">
        <v>1350</v>
      </c>
      <c r="AA80" s="32">
        <v>2600</v>
      </c>
      <c r="AB80" s="32">
        <v>2600</v>
      </c>
      <c r="AC80" s="32">
        <v>3200</v>
      </c>
      <c r="AD80" s="32">
        <v>850</v>
      </c>
      <c r="AE80" s="32">
        <v>800</v>
      </c>
      <c r="AF80" s="32">
        <v>185</v>
      </c>
      <c r="AG80" s="32">
        <v>350</v>
      </c>
      <c r="AH80" s="32">
        <v>180</v>
      </c>
      <c r="AI80" s="32">
        <v>1650</v>
      </c>
      <c r="AJ80" s="32"/>
      <c r="AK80" s="32"/>
      <c r="AL80" s="32">
        <v>750</v>
      </c>
      <c r="AM80" s="32">
        <v>1950</v>
      </c>
      <c r="AN80" s="32"/>
      <c r="AO80" s="32"/>
      <c r="AP80" s="32">
        <f>SUM(AP74:AP79)</f>
        <v>2070</v>
      </c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>
        <v>960</v>
      </c>
      <c r="BK80" s="32"/>
      <c r="BL80" s="32">
        <v>1360</v>
      </c>
      <c r="BM80" s="32"/>
      <c r="BN80" s="32">
        <v>1100</v>
      </c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</row>
    <row r="81" spans="1:107" s="33" customFormat="1" x14ac:dyDescent="0.25">
      <c r="A81" s="31" t="s">
        <v>63</v>
      </c>
      <c r="B81" s="32">
        <v>6380</v>
      </c>
      <c r="C81" s="32">
        <v>2890</v>
      </c>
      <c r="D81" s="32">
        <v>1280</v>
      </c>
      <c r="E81" s="32">
        <v>820</v>
      </c>
      <c r="F81" s="51">
        <v>1450</v>
      </c>
      <c r="G81" s="32">
        <v>350</v>
      </c>
      <c r="H81" s="32">
        <v>400</v>
      </c>
      <c r="I81" s="32">
        <v>400</v>
      </c>
      <c r="J81" s="59"/>
      <c r="K81" s="59"/>
      <c r="L81" s="32">
        <v>3620</v>
      </c>
      <c r="M81" s="32">
        <v>5800</v>
      </c>
      <c r="N81" s="32">
        <v>1200</v>
      </c>
      <c r="O81" s="32">
        <v>1150</v>
      </c>
      <c r="P81" s="32">
        <v>480</v>
      </c>
      <c r="Q81" s="32">
        <v>8600</v>
      </c>
      <c r="R81" s="32"/>
      <c r="S81" s="32"/>
      <c r="T81" s="32">
        <v>980</v>
      </c>
      <c r="U81" s="32"/>
      <c r="V81" s="32">
        <v>480</v>
      </c>
      <c r="W81" s="32">
        <v>1600</v>
      </c>
      <c r="X81" s="32">
        <v>1600</v>
      </c>
      <c r="Y81" s="32">
        <v>2200</v>
      </c>
      <c r="Z81" s="32">
        <v>1350</v>
      </c>
      <c r="AA81" s="32">
        <v>2600</v>
      </c>
      <c r="AB81" s="32">
        <v>2600</v>
      </c>
      <c r="AC81" s="32">
        <v>3200</v>
      </c>
      <c r="AD81" s="32">
        <v>850</v>
      </c>
      <c r="AE81" s="32">
        <v>800</v>
      </c>
      <c r="AF81" s="32">
        <v>185</v>
      </c>
      <c r="AG81" s="32">
        <v>350</v>
      </c>
      <c r="AH81" s="32">
        <v>180</v>
      </c>
      <c r="AI81" s="32">
        <v>1650</v>
      </c>
      <c r="AJ81" s="32"/>
      <c r="AK81" s="32"/>
      <c r="AL81" s="32">
        <v>750</v>
      </c>
      <c r="AM81" s="32">
        <v>1950</v>
      </c>
      <c r="AN81" s="32"/>
      <c r="AO81" s="32"/>
      <c r="AP81" s="32">
        <f t="shared" ref="AP81:AP89" si="0">SUM(AP75:AP80)</f>
        <v>4030</v>
      </c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>
        <v>960</v>
      </c>
      <c r="BK81" s="32"/>
      <c r="BL81" s="32">
        <v>1360</v>
      </c>
      <c r="BM81" s="32"/>
      <c r="BN81" s="32">
        <v>1100</v>
      </c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</row>
    <row r="82" spans="1:107" s="33" customFormat="1" x14ac:dyDescent="0.25">
      <c r="A82" s="31" t="s">
        <v>64</v>
      </c>
      <c r="B82" s="32">
        <v>6380</v>
      </c>
      <c r="C82" s="32">
        <v>2890</v>
      </c>
      <c r="D82" s="32">
        <v>1280</v>
      </c>
      <c r="E82" s="32">
        <v>820</v>
      </c>
      <c r="F82" s="51">
        <v>1450</v>
      </c>
      <c r="G82" s="32">
        <v>350</v>
      </c>
      <c r="H82" s="32">
        <v>400</v>
      </c>
      <c r="I82" s="32">
        <v>400</v>
      </c>
      <c r="J82" s="59"/>
      <c r="K82" s="59"/>
      <c r="L82" s="32">
        <v>3620</v>
      </c>
      <c r="M82" s="32">
        <v>5800</v>
      </c>
      <c r="N82" s="32">
        <v>1200</v>
      </c>
      <c r="O82" s="32">
        <v>1150</v>
      </c>
      <c r="P82" s="32">
        <v>480</v>
      </c>
      <c r="Q82" s="32">
        <v>8600</v>
      </c>
      <c r="R82" s="32"/>
      <c r="S82" s="32"/>
      <c r="T82" s="32">
        <v>980</v>
      </c>
      <c r="U82" s="32"/>
      <c r="V82" s="32">
        <v>480</v>
      </c>
      <c r="W82" s="32">
        <v>1600</v>
      </c>
      <c r="X82" s="32">
        <v>1600</v>
      </c>
      <c r="Y82" s="32">
        <v>2200</v>
      </c>
      <c r="Z82" s="32">
        <v>1350</v>
      </c>
      <c r="AA82" s="32">
        <v>2600</v>
      </c>
      <c r="AB82" s="32">
        <v>2600</v>
      </c>
      <c r="AC82" s="32">
        <v>3200</v>
      </c>
      <c r="AD82" s="32">
        <v>850</v>
      </c>
      <c r="AE82" s="32">
        <v>800</v>
      </c>
      <c r="AF82" s="32">
        <v>185</v>
      </c>
      <c r="AG82" s="32">
        <v>350</v>
      </c>
      <c r="AH82" s="32">
        <v>180</v>
      </c>
      <c r="AI82" s="32">
        <v>1650</v>
      </c>
      <c r="AJ82" s="32"/>
      <c r="AK82" s="32"/>
      <c r="AL82" s="32">
        <v>750</v>
      </c>
      <c r="AM82" s="32">
        <v>1950</v>
      </c>
      <c r="AN82" s="32"/>
      <c r="AO82" s="32"/>
      <c r="AP82" s="32">
        <f t="shared" si="0"/>
        <v>7810</v>
      </c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>
        <v>960</v>
      </c>
      <c r="BK82" s="32"/>
      <c r="BL82" s="32">
        <v>1360</v>
      </c>
      <c r="BM82" s="32"/>
      <c r="BN82" s="32">
        <v>1100</v>
      </c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</row>
    <row r="83" spans="1:107" s="20" customFormat="1" x14ac:dyDescent="0.25">
      <c r="A83" s="18" t="s">
        <v>73</v>
      </c>
      <c r="B83" s="19">
        <v>6380</v>
      </c>
      <c r="C83" s="19">
        <v>2890</v>
      </c>
      <c r="D83" s="19">
        <v>980</v>
      </c>
      <c r="E83" s="19">
        <v>650</v>
      </c>
      <c r="F83" s="51">
        <v>1450</v>
      </c>
      <c r="G83" s="19">
        <v>350</v>
      </c>
      <c r="H83" s="19">
        <v>400</v>
      </c>
      <c r="I83" s="19">
        <v>400</v>
      </c>
      <c r="J83" s="58"/>
      <c r="K83" s="58"/>
      <c r="L83" s="19">
        <v>3620</v>
      </c>
      <c r="M83" s="19">
        <v>5800</v>
      </c>
      <c r="N83" s="19">
        <v>1200</v>
      </c>
      <c r="O83" s="19">
        <v>1150</v>
      </c>
      <c r="P83" s="19">
        <v>480</v>
      </c>
      <c r="Q83" s="19">
        <v>8600</v>
      </c>
      <c r="R83" s="19"/>
      <c r="S83" s="19"/>
      <c r="T83" s="22">
        <v>980</v>
      </c>
      <c r="U83" s="19"/>
      <c r="V83" s="22">
        <v>480</v>
      </c>
      <c r="W83" s="19">
        <v>1600</v>
      </c>
      <c r="X83" s="19">
        <v>1600</v>
      </c>
      <c r="Y83" s="19">
        <v>2200</v>
      </c>
      <c r="Z83" s="19">
        <v>1350</v>
      </c>
      <c r="AA83" s="19">
        <v>2600</v>
      </c>
      <c r="AB83" s="19">
        <v>2600</v>
      </c>
      <c r="AC83" s="19">
        <v>3200</v>
      </c>
      <c r="AD83" s="19">
        <v>850</v>
      </c>
      <c r="AE83" s="22">
        <v>500</v>
      </c>
      <c r="AF83" s="22">
        <v>140</v>
      </c>
      <c r="AG83" s="22">
        <v>320</v>
      </c>
      <c r="AH83" s="22">
        <v>180</v>
      </c>
      <c r="AI83" s="22">
        <v>1650</v>
      </c>
      <c r="AJ83" s="19"/>
      <c r="AK83" s="19"/>
      <c r="AL83" s="19">
        <v>750</v>
      </c>
      <c r="AM83" s="19">
        <v>1950</v>
      </c>
      <c r="AN83" s="19"/>
      <c r="AO83" s="19"/>
      <c r="AP83" s="19">
        <f t="shared" si="0"/>
        <v>15570</v>
      </c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>
        <v>960</v>
      </c>
      <c r="BK83" s="19"/>
      <c r="BL83" s="19">
        <v>1360</v>
      </c>
      <c r="BM83" s="19"/>
      <c r="BN83" s="19">
        <v>1100</v>
      </c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</row>
    <row r="84" spans="1:107" s="20" customFormat="1" x14ac:dyDescent="0.25">
      <c r="A84" s="18" t="s">
        <v>66</v>
      </c>
      <c r="B84" s="19">
        <v>6380</v>
      </c>
      <c r="C84" s="19">
        <v>2890</v>
      </c>
      <c r="D84" s="19">
        <v>980</v>
      </c>
      <c r="E84" s="19">
        <v>650</v>
      </c>
      <c r="F84" s="51">
        <v>1450</v>
      </c>
      <c r="G84" s="19">
        <v>350</v>
      </c>
      <c r="H84" s="19">
        <v>400</v>
      </c>
      <c r="I84" s="19">
        <v>400</v>
      </c>
      <c r="J84" s="58"/>
      <c r="K84" s="58"/>
      <c r="L84" s="19">
        <v>3620</v>
      </c>
      <c r="M84" s="19">
        <v>5800</v>
      </c>
      <c r="N84" s="19">
        <v>1200</v>
      </c>
      <c r="O84" s="19">
        <v>1150</v>
      </c>
      <c r="P84" s="19">
        <v>480</v>
      </c>
      <c r="Q84" s="19">
        <v>8600</v>
      </c>
      <c r="R84" s="19"/>
      <c r="S84" s="19"/>
      <c r="T84" s="22">
        <v>980</v>
      </c>
      <c r="U84" s="19"/>
      <c r="V84" s="22">
        <v>480</v>
      </c>
      <c r="W84" s="19">
        <v>1600</v>
      </c>
      <c r="X84" s="19">
        <v>1600</v>
      </c>
      <c r="Y84" s="19">
        <v>2200</v>
      </c>
      <c r="Z84" s="19">
        <v>1350</v>
      </c>
      <c r="AA84" s="19">
        <v>2600</v>
      </c>
      <c r="AB84" s="19">
        <v>2600</v>
      </c>
      <c r="AC84" s="19">
        <v>3200</v>
      </c>
      <c r="AD84" s="19">
        <v>850</v>
      </c>
      <c r="AE84" s="22">
        <v>500</v>
      </c>
      <c r="AF84" s="22">
        <v>140</v>
      </c>
      <c r="AG84" s="22">
        <v>320</v>
      </c>
      <c r="AH84" s="22">
        <v>180</v>
      </c>
      <c r="AI84" s="22">
        <v>1650</v>
      </c>
      <c r="AJ84" s="19"/>
      <c r="AK84" s="19"/>
      <c r="AL84" s="19">
        <v>750</v>
      </c>
      <c r="AM84" s="19">
        <v>1950</v>
      </c>
      <c r="AN84" s="19"/>
      <c r="AO84" s="19"/>
      <c r="AP84" s="19">
        <f t="shared" si="0"/>
        <v>30420</v>
      </c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>
        <v>960</v>
      </c>
      <c r="BK84" s="19"/>
      <c r="BL84" s="19">
        <v>1360</v>
      </c>
      <c r="BM84" s="19"/>
      <c r="BN84" s="19">
        <v>1100</v>
      </c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</row>
    <row r="85" spans="1:107" s="35" customFormat="1" x14ac:dyDescent="0.25">
      <c r="A85" s="34" t="s">
        <v>256</v>
      </c>
      <c r="B85" s="26">
        <v>6380</v>
      </c>
      <c r="C85" s="26">
        <v>2890</v>
      </c>
      <c r="D85" s="26">
        <v>1280</v>
      </c>
      <c r="E85" s="26">
        <v>820</v>
      </c>
      <c r="F85" s="51">
        <v>1450</v>
      </c>
      <c r="G85" s="26">
        <v>350</v>
      </c>
      <c r="H85" s="26">
        <v>400</v>
      </c>
      <c r="I85" s="26">
        <v>400</v>
      </c>
      <c r="J85" s="55"/>
      <c r="K85" s="55"/>
      <c r="L85" s="26">
        <v>3620</v>
      </c>
      <c r="M85" s="26">
        <v>5800</v>
      </c>
      <c r="N85" s="26">
        <v>1200</v>
      </c>
      <c r="O85" s="26">
        <v>1150</v>
      </c>
      <c r="P85" s="26">
        <v>480</v>
      </c>
      <c r="Q85" s="26">
        <v>8600</v>
      </c>
      <c r="R85" s="26"/>
      <c r="S85" s="26"/>
      <c r="T85" s="26">
        <v>980</v>
      </c>
      <c r="U85" s="26"/>
      <c r="V85" s="26">
        <v>480</v>
      </c>
      <c r="W85" s="26">
        <v>1600</v>
      </c>
      <c r="X85" s="26">
        <v>1600</v>
      </c>
      <c r="Y85" s="26">
        <v>2200</v>
      </c>
      <c r="Z85" s="26">
        <v>1350</v>
      </c>
      <c r="AA85" s="26">
        <v>2600</v>
      </c>
      <c r="AB85" s="26">
        <v>2600</v>
      </c>
      <c r="AC85" s="26">
        <v>3200</v>
      </c>
      <c r="AD85" s="26">
        <v>850</v>
      </c>
      <c r="AE85" s="26">
        <v>800</v>
      </c>
      <c r="AF85" s="26">
        <v>185</v>
      </c>
      <c r="AG85" s="26">
        <v>350</v>
      </c>
      <c r="AH85" s="26">
        <v>180</v>
      </c>
      <c r="AI85" s="26">
        <v>1650</v>
      </c>
      <c r="AJ85" s="26"/>
      <c r="AK85" s="26"/>
      <c r="AL85" s="26">
        <v>750</v>
      </c>
      <c r="AM85" s="26">
        <v>1950</v>
      </c>
      <c r="AN85" s="26"/>
      <c r="AO85" s="26"/>
      <c r="AP85" s="26">
        <f t="shared" si="0"/>
        <v>60360</v>
      </c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>
        <v>960</v>
      </c>
      <c r="BK85" s="26"/>
      <c r="BL85" s="26">
        <v>1360</v>
      </c>
      <c r="BM85" s="26"/>
      <c r="BN85" s="26">
        <v>1100</v>
      </c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</row>
    <row r="86" spans="1:107" s="35" customFormat="1" x14ac:dyDescent="0.25">
      <c r="A86" s="34" t="s">
        <v>67</v>
      </c>
      <c r="B86" s="26">
        <v>6380</v>
      </c>
      <c r="C86" s="26">
        <v>2890</v>
      </c>
      <c r="D86" s="26">
        <v>1280</v>
      </c>
      <c r="E86" s="26">
        <v>820</v>
      </c>
      <c r="F86" s="51">
        <v>1450</v>
      </c>
      <c r="G86" s="26">
        <v>350</v>
      </c>
      <c r="H86" s="26">
        <v>400</v>
      </c>
      <c r="I86" s="26">
        <v>400</v>
      </c>
      <c r="J86" s="55"/>
      <c r="K86" s="55"/>
      <c r="L86" s="26">
        <v>3620</v>
      </c>
      <c r="M86" s="26">
        <v>5800</v>
      </c>
      <c r="N86" s="26">
        <v>1200</v>
      </c>
      <c r="O86" s="26">
        <v>1150</v>
      </c>
      <c r="P86" s="26">
        <v>480</v>
      </c>
      <c r="Q86" s="26">
        <v>8600</v>
      </c>
      <c r="R86" s="26"/>
      <c r="S86" s="26"/>
      <c r="T86" s="26">
        <v>980</v>
      </c>
      <c r="U86" s="26"/>
      <c r="V86" s="26">
        <v>480</v>
      </c>
      <c r="W86" s="26">
        <v>1600</v>
      </c>
      <c r="X86" s="26">
        <v>1600</v>
      </c>
      <c r="Y86" s="26">
        <v>2200</v>
      </c>
      <c r="Z86" s="26">
        <v>1350</v>
      </c>
      <c r="AA86" s="26">
        <v>2600</v>
      </c>
      <c r="AB86" s="26">
        <v>2600</v>
      </c>
      <c r="AC86" s="26">
        <v>3200</v>
      </c>
      <c r="AD86" s="26">
        <v>850</v>
      </c>
      <c r="AE86" s="26">
        <v>800</v>
      </c>
      <c r="AF86" s="26">
        <v>185</v>
      </c>
      <c r="AG86" s="26">
        <v>350</v>
      </c>
      <c r="AH86" s="26">
        <v>180</v>
      </c>
      <c r="AI86" s="26">
        <v>1650</v>
      </c>
      <c r="AJ86" s="26"/>
      <c r="AK86" s="26"/>
      <c r="AL86" s="26">
        <v>750</v>
      </c>
      <c r="AM86" s="26">
        <v>1950</v>
      </c>
      <c r="AN86" s="26"/>
      <c r="AO86" s="26"/>
      <c r="AP86" s="26">
        <f t="shared" si="0"/>
        <v>120260</v>
      </c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>
        <v>960</v>
      </c>
      <c r="BK86" s="26"/>
      <c r="BL86" s="26">
        <v>1360</v>
      </c>
      <c r="BM86" s="26"/>
      <c r="BN86" s="26">
        <v>1100</v>
      </c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</row>
    <row r="87" spans="1:107" s="35" customFormat="1" x14ac:dyDescent="0.25">
      <c r="A87" s="34" t="s">
        <v>76</v>
      </c>
      <c r="B87" s="26">
        <v>6380</v>
      </c>
      <c r="C87" s="26">
        <v>2890</v>
      </c>
      <c r="D87" s="26">
        <v>1280</v>
      </c>
      <c r="E87" s="26">
        <v>820</v>
      </c>
      <c r="F87" s="51">
        <v>1450</v>
      </c>
      <c r="G87" s="26">
        <v>350</v>
      </c>
      <c r="H87" s="26">
        <v>400</v>
      </c>
      <c r="I87" s="26">
        <v>400</v>
      </c>
      <c r="J87" s="55"/>
      <c r="K87" s="55"/>
      <c r="L87" s="26">
        <v>3620</v>
      </c>
      <c r="M87" s="26">
        <v>5800</v>
      </c>
      <c r="N87" s="26">
        <v>1200</v>
      </c>
      <c r="O87" s="26">
        <v>1150</v>
      </c>
      <c r="P87" s="26">
        <v>480</v>
      </c>
      <c r="Q87" s="26">
        <v>8600</v>
      </c>
      <c r="R87" s="26"/>
      <c r="S87" s="26"/>
      <c r="T87" s="26">
        <v>980</v>
      </c>
      <c r="U87" s="26"/>
      <c r="V87" s="26">
        <v>480</v>
      </c>
      <c r="W87" s="26">
        <v>1600</v>
      </c>
      <c r="X87" s="26">
        <v>1600</v>
      </c>
      <c r="Y87" s="26">
        <v>2200</v>
      </c>
      <c r="Z87" s="26">
        <v>1350</v>
      </c>
      <c r="AA87" s="26">
        <v>2600</v>
      </c>
      <c r="AB87" s="26">
        <v>2600</v>
      </c>
      <c r="AC87" s="26">
        <v>3200</v>
      </c>
      <c r="AD87" s="26">
        <v>850</v>
      </c>
      <c r="AE87" s="26">
        <v>800</v>
      </c>
      <c r="AF87" s="26">
        <v>185</v>
      </c>
      <c r="AG87" s="26">
        <v>350</v>
      </c>
      <c r="AH87" s="26">
        <v>180</v>
      </c>
      <c r="AI87" s="26">
        <v>1650</v>
      </c>
      <c r="AJ87" s="26"/>
      <c r="AK87" s="26"/>
      <c r="AL87" s="26">
        <v>750</v>
      </c>
      <c r="AM87" s="26">
        <v>1950</v>
      </c>
      <c r="AN87" s="26"/>
      <c r="AO87" s="26"/>
      <c r="AP87" s="26">
        <f t="shared" si="0"/>
        <v>238450</v>
      </c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>
        <v>2900</v>
      </c>
      <c r="BH87" s="26"/>
      <c r="BI87" s="26"/>
      <c r="BJ87" s="26">
        <v>960</v>
      </c>
      <c r="BK87" s="26"/>
      <c r="BL87" s="26">
        <v>1360</v>
      </c>
      <c r="BM87" s="26"/>
      <c r="BN87" s="26">
        <v>1100</v>
      </c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</row>
    <row r="88" spans="1:107" s="20" customFormat="1" x14ac:dyDescent="0.25">
      <c r="A88" s="18" t="s">
        <v>68</v>
      </c>
      <c r="B88" s="19">
        <v>6380</v>
      </c>
      <c r="C88" s="19">
        <v>2890</v>
      </c>
      <c r="D88" s="19">
        <v>980</v>
      </c>
      <c r="E88" s="19">
        <v>650</v>
      </c>
      <c r="F88" s="51">
        <v>1450</v>
      </c>
      <c r="G88" s="19">
        <v>350</v>
      </c>
      <c r="H88" s="19">
        <v>400</v>
      </c>
      <c r="I88" s="19">
        <v>400</v>
      </c>
      <c r="J88" s="58"/>
      <c r="K88" s="58"/>
      <c r="L88" s="19">
        <v>3620</v>
      </c>
      <c r="M88" s="19">
        <v>5800</v>
      </c>
      <c r="N88" s="19">
        <v>1200</v>
      </c>
      <c r="O88" s="19">
        <v>1150</v>
      </c>
      <c r="P88" s="19">
        <v>480</v>
      </c>
      <c r="Q88" s="19">
        <v>8600</v>
      </c>
      <c r="R88" s="19"/>
      <c r="S88" s="19"/>
      <c r="T88" s="22">
        <v>980</v>
      </c>
      <c r="U88" s="19"/>
      <c r="V88" s="22">
        <v>480</v>
      </c>
      <c r="W88" s="19">
        <v>1600</v>
      </c>
      <c r="X88" s="19">
        <v>1600</v>
      </c>
      <c r="Y88" s="19">
        <v>2200</v>
      </c>
      <c r="Z88" s="19">
        <v>1350</v>
      </c>
      <c r="AA88" s="19">
        <v>2600</v>
      </c>
      <c r="AB88" s="19">
        <v>2600</v>
      </c>
      <c r="AC88" s="19">
        <v>3200</v>
      </c>
      <c r="AD88" s="19">
        <v>850</v>
      </c>
      <c r="AE88" s="22">
        <v>500</v>
      </c>
      <c r="AF88" s="22">
        <v>140</v>
      </c>
      <c r="AG88" s="22">
        <v>320</v>
      </c>
      <c r="AH88" s="22">
        <v>180</v>
      </c>
      <c r="AI88" s="22">
        <v>1650</v>
      </c>
      <c r="AJ88" s="19"/>
      <c r="AK88" s="19"/>
      <c r="AL88" s="19">
        <v>750</v>
      </c>
      <c r="AM88" s="19">
        <v>1950</v>
      </c>
      <c r="AN88" s="19"/>
      <c r="AO88" s="19"/>
      <c r="AP88" s="19">
        <f t="shared" si="0"/>
        <v>472870</v>
      </c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>
        <v>960</v>
      </c>
      <c r="BK88" s="19"/>
      <c r="BL88" s="19">
        <v>1360</v>
      </c>
      <c r="BM88" s="19"/>
      <c r="BN88" s="19">
        <v>1100</v>
      </c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</row>
    <row r="89" spans="1:107" s="35" customFormat="1" x14ac:dyDescent="0.25">
      <c r="A89" s="34" t="s">
        <v>72</v>
      </c>
      <c r="B89" s="26">
        <v>6380</v>
      </c>
      <c r="C89" s="26">
        <v>2890</v>
      </c>
      <c r="D89" s="26">
        <v>980</v>
      </c>
      <c r="E89" s="26">
        <v>650</v>
      </c>
      <c r="F89" s="51">
        <v>1450</v>
      </c>
      <c r="G89" s="26">
        <v>350</v>
      </c>
      <c r="H89" s="26">
        <v>400</v>
      </c>
      <c r="I89" s="26">
        <v>400</v>
      </c>
      <c r="J89" s="55"/>
      <c r="K89" s="55"/>
      <c r="L89" s="26">
        <v>3620</v>
      </c>
      <c r="M89" s="26">
        <v>5800</v>
      </c>
      <c r="N89" s="26">
        <v>1200</v>
      </c>
      <c r="O89" s="26">
        <v>1150</v>
      </c>
      <c r="P89" s="26">
        <v>480</v>
      </c>
      <c r="Q89" s="26">
        <v>8600</v>
      </c>
      <c r="R89" s="26"/>
      <c r="S89" s="26"/>
      <c r="T89" s="26">
        <v>980</v>
      </c>
      <c r="U89" s="26"/>
      <c r="V89" s="26">
        <v>480</v>
      </c>
      <c r="W89" s="26">
        <v>1600</v>
      </c>
      <c r="X89" s="26">
        <v>1600</v>
      </c>
      <c r="Y89" s="26">
        <v>2200</v>
      </c>
      <c r="Z89" s="26">
        <v>1350</v>
      </c>
      <c r="AA89" s="26">
        <v>2600</v>
      </c>
      <c r="AB89" s="26">
        <v>2600</v>
      </c>
      <c r="AC89" s="26">
        <v>3200</v>
      </c>
      <c r="AD89" s="26">
        <v>850</v>
      </c>
      <c r="AE89" s="26">
        <v>800</v>
      </c>
      <c r="AF89" s="26">
        <v>185</v>
      </c>
      <c r="AG89" s="26">
        <v>580</v>
      </c>
      <c r="AH89" s="26">
        <v>180</v>
      </c>
      <c r="AI89" s="26">
        <v>1650</v>
      </c>
      <c r="AJ89" s="26"/>
      <c r="AK89" s="26"/>
      <c r="AL89" s="26">
        <v>750</v>
      </c>
      <c r="AM89" s="26">
        <v>1950</v>
      </c>
      <c r="AN89" s="26"/>
      <c r="AO89" s="26"/>
      <c r="AP89" s="26">
        <f t="shared" si="0"/>
        <v>937930</v>
      </c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>
        <v>960</v>
      </c>
      <c r="BK89" s="26"/>
      <c r="BL89" s="26">
        <v>1360</v>
      </c>
      <c r="BM89" s="26"/>
      <c r="BN89" s="26">
        <v>1100</v>
      </c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</row>
    <row r="90" spans="1:107" s="35" customFormat="1" x14ac:dyDescent="0.25">
      <c r="A90" s="34" t="s">
        <v>112</v>
      </c>
      <c r="B90" s="26"/>
      <c r="C90" s="26"/>
      <c r="D90" s="26"/>
      <c r="E90" s="26"/>
      <c r="F90" s="26"/>
      <c r="G90" s="26"/>
      <c r="H90" s="26"/>
      <c r="I90" s="26"/>
      <c r="J90" s="55"/>
      <c r="K90" s="55"/>
      <c r="L90" s="26"/>
      <c r="M90" s="26"/>
      <c r="N90" s="26"/>
      <c r="O90" s="26"/>
      <c r="P90" s="26"/>
      <c r="Q90" s="26"/>
      <c r="R90" s="26"/>
      <c r="S90" s="26"/>
      <c r="T90" s="26">
        <v>980</v>
      </c>
      <c r="U90" s="26"/>
      <c r="V90" s="26">
        <v>480</v>
      </c>
      <c r="W90" s="26"/>
      <c r="X90" s="26"/>
      <c r="Y90" s="26"/>
      <c r="Z90" s="26"/>
      <c r="AA90" s="26"/>
      <c r="AB90" s="26"/>
      <c r="AC90" s="26"/>
      <c r="AD90" s="26"/>
      <c r="AE90" s="26">
        <v>800</v>
      </c>
      <c r="AF90" s="26">
        <v>185</v>
      </c>
      <c r="AG90" s="26">
        <v>580</v>
      </c>
      <c r="AH90" s="26"/>
      <c r="AI90" s="26"/>
      <c r="AJ90" s="26"/>
      <c r="AK90" s="26"/>
      <c r="AL90" s="26"/>
      <c r="AM90" s="26"/>
      <c r="AN90" s="26"/>
      <c r="AO90" s="26"/>
      <c r="AP90" s="26">
        <v>3250</v>
      </c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</row>
    <row r="91" spans="1:107" s="35" customFormat="1" x14ac:dyDescent="0.25">
      <c r="A91" s="34" t="s">
        <v>70</v>
      </c>
      <c r="B91" s="26"/>
      <c r="C91" s="26"/>
      <c r="D91" s="26">
        <v>1820</v>
      </c>
      <c r="E91" s="26">
        <v>1160</v>
      </c>
      <c r="F91" s="26">
        <v>780</v>
      </c>
      <c r="G91" s="26">
        <v>200</v>
      </c>
      <c r="H91" s="26"/>
      <c r="I91" s="26"/>
      <c r="J91" s="55"/>
      <c r="K91" s="55"/>
      <c r="L91" s="26"/>
      <c r="M91" s="26"/>
      <c r="N91" s="26"/>
      <c r="O91" s="26"/>
      <c r="P91" s="26"/>
      <c r="Q91" s="26"/>
      <c r="R91" s="26"/>
      <c r="S91" s="26"/>
      <c r="T91" s="26">
        <v>980</v>
      </c>
      <c r="U91" s="26"/>
      <c r="V91" s="26">
        <v>480</v>
      </c>
      <c r="W91" s="26"/>
      <c r="X91" s="26"/>
      <c r="Y91" s="26"/>
      <c r="Z91" s="26"/>
      <c r="AA91" s="26">
        <v>2650</v>
      </c>
      <c r="AB91" s="26"/>
      <c r="AC91" s="26"/>
      <c r="AD91" s="26"/>
      <c r="AE91" s="26">
        <v>800</v>
      </c>
      <c r="AF91" s="26">
        <v>185</v>
      </c>
      <c r="AG91" s="26">
        <v>580</v>
      </c>
      <c r="AH91" s="26"/>
      <c r="AI91" s="26">
        <v>1650</v>
      </c>
      <c r="AJ91" s="26"/>
      <c r="AK91" s="26"/>
      <c r="AL91" s="26"/>
      <c r="AM91" s="26"/>
      <c r="AN91" s="26"/>
      <c r="AO91" s="26"/>
      <c r="AP91" s="26">
        <v>350</v>
      </c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K91" s="35">
        <v>1480</v>
      </c>
    </row>
    <row r="92" spans="1:107" s="38" customFormat="1" ht="14.25" customHeight="1" x14ac:dyDescent="0.25">
      <c r="A92" s="36" t="s">
        <v>74</v>
      </c>
      <c r="B92" s="37"/>
      <c r="C92" s="37"/>
      <c r="D92" s="37">
        <v>780</v>
      </c>
      <c r="E92" s="37">
        <v>650</v>
      </c>
      <c r="F92" s="37"/>
      <c r="G92" s="37"/>
      <c r="H92" s="37"/>
      <c r="I92" s="37"/>
      <c r="J92" s="56"/>
      <c r="K92" s="56"/>
      <c r="L92" s="37"/>
      <c r="M92" s="37"/>
      <c r="N92" s="37"/>
      <c r="O92" s="37"/>
      <c r="P92" s="37"/>
      <c r="Q92" s="37"/>
      <c r="R92" s="37"/>
      <c r="S92" s="37"/>
      <c r="T92" s="37">
        <v>980</v>
      </c>
      <c r="U92" s="37"/>
      <c r="V92" s="37">
        <v>480</v>
      </c>
      <c r="W92" s="37"/>
      <c r="X92" s="37"/>
      <c r="Y92" s="37"/>
      <c r="Z92" s="37"/>
      <c r="AA92" s="37"/>
      <c r="AB92" s="37"/>
      <c r="AC92" s="37"/>
      <c r="AD92" s="37"/>
      <c r="AE92" s="37">
        <v>500</v>
      </c>
      <c r="AF92" s="37">
        <v>140</v>
      </c>
      <c r="AG92" s="37">
        <v>240</v>
      </c>
      <c r="AH92" s="37"/>
      <c r="AI92" s="37"/>
      <c r="AJ92" s="37"/>
      <c r="AK92" s="37"/>
      <c r="AL92" s="37"/>
      <c r="AM92" s="37"/>
      <c r="AN92" s="37"/>
      <c r="AO92" s="37"/>
      <c r="AP92" s="37">
        <v>100</v>
      </c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</row>
    <row r="93" spans="1:107" s="42" customFormat="1" x14ac:dyDescent="0.25">
      <c r="A93" s="40" t="s">
        <v>75</v>
      </c>
      <c r="B93" s="41"/>
      <c r="C93" s="41"/>
      <c r="D93" s="41"/>
      <c r="E93" s="41"/>
      <c r="F93" s="41"/>
      <c r="G93" s="41"/>
      <c r="H93" s="41"/>
      <c r="I93" s="41"/>
      <c r="J93" s="60"/>
      <c r="K93" s="60"/>
      <c r="L93" s="41"/>
      <c r="M93" s="41"/>
      <c r="N93" s="41"/>
      <c r="O93" s="41"/>
      <c r="P93" s="41"/>
      <c r="Q93" s="41"/>
      <c r="R93" s="41"/>
      <c r="S93" s="41"/>
      <c r="T93" s="41">
        <v>980</v>
      </c>
      <c r="U93" s="41"/>
      <c r="V93" s="41">
        <v>480</v>
      </c>
      <c r="W93" s="41"/>
      <c r="X93" s="41"/>
      <c r="Y93" s="41"/>
      <c r="Z93" s="41"/>
      <c r="AA93" s="41"/>
      <c r="AB93" s="41"/>
      <c r="AC93" s="41"/>
      <c r="AD93" s="41"/>
      <c r="AE93" s="41">
        <v>800</v>
      </c>
      <c r="AF93" s="41">
        <v>185</v>
      </c>
      <c r="AG93" s="41">
        <v>580</v>
      </c>
      <c r="AH93" s="41"/>
      <c r="AI93" s="41"/>
      <c r="AJ93" s="41"/>
      <c r="AK93" s="41"/>
      <c r="AL93" s="41"/>
      <c r="AM93" s="41"/>
      <c r="AN93" s="41"/>
      <c r="AO93" s="41"/>
      <c r="AP93" s="41">
        <v>329</v>
      </c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</row>
    <row r="94" spans="1:107" s="42" customFormat="1" x14ac:dyDescent="0.25">
      <c r="A94" s="40">
        <v>594</v>
      </c>
      <c r="B94" s="41"/>
      <c r="C94" s="41">
        <v>7760</v>
      </c>
      <c r="D94" s="41">
        <v>1463</v>
      </c>
      <c r="E94" s="41">
        <v>1082</v>
      </c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>
        <v>980</v>
      </c>
      <c r="U94" s="41"/>
      <c r="V94" s="41">
        <v>480</v>
      </c>
      <c r="W94" s="41"/>
      <c r="X94" s="41"/>
      <c r="Y94" s="41"/>
      <c r="Z94" s="41"/>
      <c r="AA94" s="41"/>
      <c r="AB94" s="41"/>
      <c r="AC94" s="41"/>
      <c r="AD94" s="41"/>
      <c r="AE94" s="41">
        <v>800</v>
      </c>
      <c r="AF94" s="41">
        <v>185</v>
      </c>
      <c r="AG94" s="41">
        <v>580</v>
      </c>
      <c r="AH94" s="41"/>
      <c r="AI94" s="41">
        <v>680</v>
      </c>
      <c r="AJ94" s="41"/>
      <c r="AK94" s="41"/>
      <c r="AL94" s="41"/>
      <c r="AM94" s="41"/>
      <c r="AN94" s="41"/>
      <c r="AO94" s="41"/>
      <c r="AP94" s="41">
        <v>50</v>
      </c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K94" s="42">
        <v>320</v>
      </c>
      <c r="DC94" s="42" t="s">
        <v>291</v>
      </c>
    </row>
    <row r="95" spans="1:107" s="42" customFormat="1" ht="14.25" customHeight="1" x14ac:dyDescent="0.25">
      <c r="A95" s="40" t="s">
        <v>257</v>
      </c>
      <c r="B95" s="41">
        <v>4200</v>
      </c>
      <c r="C95" s="41">
        <v>3240</v>
      </c>
      <c r="D95" s="41">
        <v>880</v>
      </c>
      <c r="E95" s="41">
        <v>560</v>
      </c>
      <c r="F95" s="41">
        <v>280</v>
      </c>
      <c r="G95" s="41"/>
      <c r="H95" s="41"/>
      <c r="I95" s="41"/>
      <c r="J95" s="60">
        <v>1300</v>
      </c>
      <c r="K95" s="60"/>
      <c r="L95" s="41"/>
      <c r="M95" s="41">
        <v>1800</v>
      </c>
      <c r="N95" s="41"/>
      <c r="O95" s="41">
        <v>875</v>
      </c>
      <c r="P95" s="41"/>
      <c r="Q95" s="41"/>
      <c r="R95" s="41"/>
      <c r="S95" s="41"/>
      <c r="T95" s="41">
        <v>980</v>
      </c>
      <c r="U95" s="41"/>
      <c r="V95" s="41">
        <v>480</v>
      </c>
      <c r="W95" s="41"/>
      <c r="X95" s="41"/>
      <c r="Y95" s="41"/>
      <c r="Z95" s="41"/>
      <c r="AA95" s="41"/>
      <c r="AB95" s="41"/>
      <c r="AC95" s="41"/>
      <c r="AD95" s="41"/>
      <c r="AE95" s="41">
        <v>800</v>
      </c>
      <c r="AF95" s="41">
        <v>185</v>
      </c>
      <c r="AG95" s="41">
        <v>580</v>
      </c>
      <c r="AH95" s="41"/>
      <c r="AI95" s="41">
        <v>680</v>
      </c>
      <c r="AJ95" s="41"/>
      <c r="AK95" s="41"/>
      <c r="AL95" s="41"/>
      <c r="AM95" s="41"/>
      <c r="AN95" s="41"/>
      <c r="AO95" s="41"/>
      <c r="AP95" s="41">
        <v>300</v>
      </c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</row>
    <row r="96" spans="1:107" x14ac:dyDescent="0.25">
      <c r="B96" s="14"/>
      <c r="C96" s="14"/>
      <c r="D96" s="14"/>
      <c r="E96" s="14"/>
      <c r="F96" s="14"/>
      <c r="G96" s="14"/>
      <c r="H96" s="14"/>
      <c r="I96" s="14"/>
      <c r="J96" s="52"/>
      <c r="K96" s="52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</row>
    <row r="97" spans="1:95" x14ac:dyDescent="0.25">
      <c r="A97" s="4" t="s">
        <v>78</v>
      </c>
      <c r="B97" s="14"/>
      <c r="C97" s="14"/>
      <c r="D97" s="14"/>
      <c r="E97" s="14"/>
      <c r="F97" s="14"/>
      <c r="G97" s="14"/>
      <c r="H97" s="14"/>
      <c r="I97" s="14"/>
      <c r="J97" s="52"/>
      <c r="K97" s="52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</row>
    <row r="98" spans="1:95" x14ac:dyDescent="0.25">
      <c r="A98" s="3" t="s">
        <v>79</v>
      </c>
      <c r="B98" s="14"/>
      <c r="C98" s="14"/>
      <c r="D98" s="14"/>
      <c r="E98" s="14"/>
      <c r="F98" s="14"/>
      <c r="G98" s="14"/>
      <c r="H98" s="14"/>
      <c r="I98" s="14"/>
      <c r="J98" s="52"/>
      <c r="K98" s="52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>
        <v>250</v>
      </c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>
        <v>960</v>
      </c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Q98" s="2">
        <v>750</v>
      </c>
    </row>
    <row r="99" spans="1:95" x14ac:dyDescent="0.25">
      <c r="A99" s="3" t="s">
        <v>80</v>
      </c>
      <c r="B99" s="14"/>
      <c r="C99" s="14"/>
      <c r="D99" s="14">
        <v>320</v>
      </c>
      <c r="E99" s="14"/>
      <c r="F99" s="14"/>
      <c r="G99" s="14"/>
      <c r="H99" s="14"/>
      <c r="I99" s="14"/>
      <c r="J99" s="52"/>
      <c r="K99" s="52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>
        <v>250</v>
      </c>
      <c r="AF99" s="14"/>
      <c r="AG99" s="14">
        <v>180</v>
      </c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</row>
    <row r="100" spans="1:95" ht="21" customHeight="1" x14ac:dyDescent="0.25">
      <c r="A100" s="3" t="s">
        <v>81</v>
      </c>
      <c r="B100" s="14"/>
      <c r="C100" s="14"/>
      <c r="D100" s="14"/>
      <c r="E100" s="14"/>
      <c r="F100" s="14"/>
      <c r="G100" s="14"/>
      <c r="H100" s="14"/>
      <c r="I100" s="14"/>
      <c r="J100" s="52"/>
      <c r="K100" s="52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>
        <f>650+650</f>
        <v>1300</v>
      </c>
      <c r="Z100" s="14"/>
      <c r="AA100" s="14"/>
      <c r="AB100" s="14"/>
      <c r="AC100" s="14"/>
      <c r="AD100" s="14"/>
      <c r="AE100" s="14">
        <v>250</v>
      </c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</row>
    <row r="101" spans="1:95" ht="14.25" customHeight="1" x14ac:dyDescent="0.25">
      <c r="A101" s="3" t="s">
        <v>73</v>
      </c>
      <c r="B101" s="14">
        <v>2260</v>
      </c>
      <c r="C101" s="14">
        <v>2140</v>
      </c>
      <c r="D101" s="14">
        <v>380</v>
      </c>
      <c r="E101" s="14">
        <v>350</v>
      </c>
      <c r="F101" s="14"/>
      <c r="G101" s="14"/>
      <c r="H101" s="14"/>
      <c r="I101" s="14"/>
      <c r="J101" s="52">
        <v>760</v>
      </c>
      <c r="K101" s="52"/>
      <c r="L101" s="14"/>
      <c r="M101" s="14"/>
      <c r="N101" s="14">
        <v>965</v>
      </c>
      <c r="O101" s="14">
        <v>585</v>
      </c>
      <c r="P101" s="14"/>
      <c r="Q101" s="14"/>
      <c r="R101" s="14">
        <v>340</v>
      </c>
      <c r="S101" s="14"/>
      <c r="T101" s="14">
        <v>450</v>
      </c>
      <c r="U101" s="14">
        <v>320</v>
      </c>
      <c r="V101" s="14">
        <v>150</v>
      </c>
      <c r="W101" s="14">
        <v>1180</v>
      </c>
      <c r="X101" s="14"/>
      <c r="Y101" s="14"/>
      <c r="Z101" s="14"/>
      <c r="AA101" s="14"/>
      <c r="AB101" s="14"/>
      <c r="AC101" s="14">
        <v>920</v>
      </c>
      <c r="AD101" s="14"/>
      <c r="AE101" s="22">
        <v>500</v>
      </c>
      <c r="AF101" s="22">
        <v>95</v>
      </c>
      <c r="AG101" s="22">
        <v>230</v>
      </c>
      <c r="AH101" s="22">
        <v>240</v>
      </c>
      <c r="AI101" s="14">
        <v>460</v>
      </c>
      <c r="AJ101" s="14"/>
      <c r="AK101" s="14">
        <v>145</v>
      </c>
      <c r="AL101" s="14">
        <v>350</v>
      </c>
      <c r="AM101" s="14"/>
      <c r="AN101" s="14"/>
      <c r="AO101" s="14"/>
      <c r="AP101" s="14"/>
      <c r="AQ101" s="14"/>
      <c r="AR101" s="14"/>
      <c r="AS101" s="14"/>
      <c r="AT101" s="14"/>
      <c r="AU101" s="14">
        <v>480</v>
      </c>
      <c r="AV101" s="14">
        <v>560</v>
      </c>
      <c r="AW101" s="14"/>
      <c r="AX101" s="14"/>
      <c r="AY101" s="14">
        <v>340</v>
      </c>
      <c r="AZ101" s="14"/>
      <c r="BA101" s="14"/>
      <c r="BB101" s="14">
        <v>920</v>
      </c>
      <c r="BC101" s="14">
        <v>1260</v>
      </c>
      <c r="BD101" s="14">
        <v>1340</v>
      </c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</row>
    <row r="102" spans="1:95" s="35" customFormat="1" x14ac:dyDescent="0.25">
      <c r="A102" s="34" t="s">
        <v>328</v>
      </c>
      <c r="B102" s="26">
        <v>3680</v>
      </c>
      <c r="C102" s="26">
        <v>2200</v>
      </c>
      <c r="D102" s="26">
        <v>880</v>
      </c>
      <c r="E102" s="26">
        <v>620</v>
      </c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>
        <v>850</v>
      </c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>
        <v>600</v>
      </c>
      <c r="AF102" s="26">
        <v>180</v>
      </c>
      <c r="AG102" s="26">
        <v>380</v>
      </c>
      <c r="AH102" s="26"/>
      <c r="AI102" s="26">
        <v>600</v>
      </c>
      <c r="AJ102" s="26"/>
      <c r="AK102" s="26">
        <v>260</v>
      </c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</row>
    <row r="103" spans="1:95" s="38" customFormat="1" x14ac:dyDescent="0.25">
      <c r="A103" s="36" t="s">
        <v>82</v>
      </c>
      <c r="B103" s="37">
        <v>2680</v>
      </c>
      <c r="C103" s="37"/>
      <c r="D103" s="37">
        <v>680</v>
      </c>
      <c r="E103" s="37">
        <v>520</v>
      </c>
      <c r="F103" s="37"/>
      <c r="G103" s="37"/>
      <c r="H103" s="37"/>
      <c r="I103" s="37"/>
      <c r="J103" s="56"/>
      <c r="K103" s="56"/>
      <c r="L103" s="37"/>
      <c r="M103" s="37">
        <v>9340</v>
      </c>
      <c r="N103" s="37"/>
      <c r="O103" s="37">
        <v>945</v>
      </c>
      <c r="P103" s="37"/>
      <c r="Q103" s="37">
        <v>4820</v>
      </c>
      <c r="R103" s="37"/>
      <c r="S103" s="37"/>
      <c r="T103" s="37">
        <v>680</v>
      </c>
      <c r="U103" s="37"/>
      <c r="V103" s="37">
        <v>260</v>
      </c>
      <c r="W103" s="37"/>
      <c r="X103" s="37"/>
      <c r="Y103" s="37"/>
      <c r="Z103" s="37"/>
      <c r="AA103" s="37"/>
      <c r="AB103" s="37"/>
      <c r="AC103" s="37"/>
      <c r="AD103" s="37"/>
      <c r="AE103" s="37">
        <v>600</v>
      </c>
      <c r="AF103" s="37">
        <v>180</v>
      </c>
      <c r="AG103" s="37">
        <v>380</v>
      </c>
      <c r="AH103" s="37"/>
      <c r="AI103" s="37"/>
      <c r="AJ103" s="37"/>
      <c r="AK103" s="37">
        <v>260</v>
      </c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>
        <v>450</v>
      </c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>
        <v>6460</v>
      </c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</row>
    <row r="104" spans="1:95" s="46" customFormat="1" x14ac:dyDescent="0.25">
      <c r="A104" s="43" t="s">
        <v>73</v>
      </c>
      <c r="B104" s="44">
        <v>2800</v>
      </c>
      <c r="C104" s="44">
        <v>1360</v>
      </c>
      <c r="D104" s="44">
        <v>380</v>
      </c>
      <c r="E104" s="44">
        <v>350</v>
      </c>
      <c r="F104" s="44"/>
      <c r="G104" s="44"/>
      <c r="H104" s="44"/>
      <c r="I104" s="44"/>
      <c r="J104" s="45">
        <v>760</v>
      </c>
      <c r="K104" s="45">
        <v>1300</v>
      </c>
      <c r="L104" s="44"/>
      <c r="M104" s="44">
        <v>400</v>
      </c>
      <c r="N104" s="44">
        <v>750</v>
      </c>
      <c r="O104" s="44">
        <v>540</v>
      </c>
      <c r="P104" s="44"/>
      <c r="Q104" s="44"/>
      <c r="R104" s="44">
        <v>480</v>
      </c>
      <c r="S104" s="44"/>
      <c r="T104" s="44">
        <v>450</v>
      </c>
      <c r="U104" s="44">
        <v>350</v>
      </c>
      <c r="V104" s="44">
        <v>200</v>
      </c>
      <c r="W104" s="44">
        <v>1320</v>
      </c>
      <c r="X104" s="44"/>
      <c r="Y104" s="44"/>
      <c r="Z104" s="44"/>
      <c r="AA104" s="44"/>
      <c r="AB104" s="44"/>
      <c r="AC104" s="44">
        <v>1220</v>
      </c>
      <c r="AD104" s="44"/>
      <c r="AE104" s="44">
        <v>600</v>
      </c>
      <c r="AF104" s="44">
        <v>180</v>
      </c>
      <c r="AG104" s="44">
        <v>380</v>
      </c>
      <c r="AH104" s="44"/>
      <c r="AI104" s="44">
        <v>350</v>
      </c>
      <c r="AJ104" s="44"/>
      <c r="AK104" s="44">
        <v>260</v>
      </c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4"/>
      <c r="BP104" s="44"/>
      <c r="BQ104" s="44"/>
      <c r="BR104" s="44"/>
      <c r="BS104" s="44"/>
      <c r="BT104" s="44"/>
      <c r="BU104" s="44"/>
      <c r="BV104" s="44"/>
      <c r="BW104" s="44"/>
      <c r="BX104" s="44"/>
      <c r="BY104" s="44"/>
      <c r="BZ104" s="44"/>
      <c r="CA104" s="44"/>
      <c r="CB104" s="44"/>
    </row>
    <row r="105" spans="1:95" ht="13.5" customHeight="1" x14ac:dyDescent="0.25">
      <c r="B105" s="14"/>
      <c r="C105" s="14"/>
      <c r="D105" s="14"/>
      <c r="E105" s="14"/>
      <c r="F105" s="14"/>
      <c r="G105" s="14"/>
      <c r="H105" s="14"/>
      <c r="I105" s="14"/>
      <c r="J105" s="52"/>
      <c r="K105" s="52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</row>
    <row r="106" spans="1:95" x14ac:dyDescent="0.25">
      <c r="A106" s="4" t="s">
        <v>85</v>
      </c>
      <c r="B106" s="14"/>
      <c r="C106" s="14"/>
      <c r="D106" s="14"/>
      <c r="E106" s="14"/>
      <c r="F106" s="14"/>
      <c r="G106" s="14"/>
      <c r="H106" s="14"/>
      <c r="I106" s="14"/>
      <c r="J106" s="52"/>
      <c r="K106" s="52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</row>
    <row r="107" spans="1:95" s="35" customFormat="1" x14ac:dyDescent="0.25">
      <c r="A107" s="34" t="s">
        <v>86</v>
      </c>
      <c r="B107" s="26"/>
      <c r="C107" s="26"/>
      <c r="D107" s="26"/>
      <c r="E107" s="26"/>
      <c r="F107" s="26"/>
      <c r="G107" s="26"/>
      <c r="H107" s="26"/>
      <c r="I107" s="26"/>
      <c r="J107" s="55"/>
      <c r="K107" s="55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>
        <v>600</v>
      </c>
      <c r="AF107" s="26">
        <v>160</v>
      </c>
      <c r="AG107" s="26">
        <v>320</v>
      </c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</row>
    <row r="108" spans="1:95" x14ac:dyDescent="0.25">
      <c r="A108" s="3" t="s">
        <v>94</v>
      </c>
      <c r="B108" s="14"/>
      <c r="C108" s="14"/>
      <c r="D108" s="14"/>
      <c r="E108" s="14"/>
      <c r="F108" s="14"/>
      <c r="G108" s="14"/>
      <c r="H108" s="14"/>
      <c r="I108" s="14"/>
      <c r="J108" s="52"/>
      <c r="K108" s="52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>
        <v>250</v>
      </c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</row>
    <row r="109" spans="1:95" s="35" customFormat="1" x14ac:dyDescent="0.25">
      <c r="A109" s="34" t="s">
        <v>87</v>
      </c>
      <c r="B109" s="26">
        <v>3420</v>
      </c>
      <c r="C109" s="26">
        <v>2620</v>
      </c>
      <c r="D109" s="26">
        <v>850</v>
      </c>
      <c r="E109" s="26">
        <v>350</v>
      </c>
      <c r="F109" s="26"/>
      <c r="G109" s="26"/>
      <c r="H109" s="26">
        <v>400</v>
      </c>
      <c r="I109" s="26"/>
      <c r="J109" s="55">
        <v>580</v>
      </c>
      <c r="K109" s="55"/>
      <c r="L109" s="26"/>
      <c r="M109" s="26"/>
      <c r="N109" s="26"/>
      <c r="O109" s="26">
        <v>650</v>
      </c>
      <c r="P109" s="26"/>
      <c r="Q109" s="26"/>
      <c r="R109" s="26">
        <v>480</v>
      </c>
      <c r="S109" s="26"/>
      <c r="T109" s="26">
        <v>840</v>
      </c>
      <c r="U109" s="26"/>
      <c r="V109" s="26">
        <v>350</v>
      </c>
      <c r="W109" s="26">
        <v>1050</v>
      </c>
      <c r="X109" s="26"/>
      <c r="Y109" s="26"/>
      <c r="Z109" s="26"/>
      <c r="AA109" s="26"/>
      <c r="AB109" s="26"/>
      <c r="AC109" s="26"/>
      <c r="AD109" s="26"/>
      <c r="AE109" s="26">
        <v>600</v>
      </c>
      <c r="AF109" s="26">
        <v>175</v>
      </c>
      <c r="AG109" s="26">
        <v>460</v>
      </c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>
        <v>1650</v>
      </c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</row>
    <row r="110" spans="1:95" x14ac:dyDescent="0.25">
      <c r="A110" s="3" t="s">
        <v>95</v>
      </c>
      <c r="B110" s="14"/>
      <c r="C110" s="14"/>
      <c r="D110" s="14"/>
      <c r="E110" s="14"/>
      <c r="F110" s="14"/>
      <c r="G110" s="14"/>
      <c r="H110" s="14"/>
      <c r="I110" s="14"/>
      <c r="J110" s="52"/>
      <c r="K110" s="52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>
        <f>1120/6</f>
        <v>186.66666666666666</v>
      </c>
      <c r="Z110" s="14"/>
      <c r="AA110" s="14"/>
      <c r="AB110" s="14"/>
      <c r="AC110" s="14"/>
      <c r="AD110" s="14"/>
      <c r="AE110" s="14">
        <v>300</v>
      </c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</row>
    <row r="111" spans="1:95" s="35" customFormat="1" x14ac:dyDescent="0.25">
      <c r="A111" s="34" t="s">
        <v>88</v>
      </c>
      <c r="B111" s="26"/>
      <c r="C111" s="26"/>
      <c r="D111" s="26"/>
      <c r="E111" s="26"/>
      <c r="F111" s="26"/>
      <c r="G111" s="26"/>
      <c r="H111" s="26"/>
      <c r="I111" s="26"/>
      <c r="J111" s="55"/>
      <c r="K111" s="55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>
        <v>1250</v>
      </c>
      <c r="AD111" s="26"/>
      <c r="AE111" s="26">
        <v>600</v>
      </c>
      <c r="AF111" s="26">
        <v>160</v>
      </c>
      <c r="AG111" s="26">
        <v>320</v>
      </c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</row>
    <row r="112" spans="1:95" x14ac:dyDescent="0.25">
      <c r="A112" s="3" t="s">
        <v>89</v>
      </c>
      <c r="B112" s="14"/>
      <c r="C112" s="14"/>
      <c r="D112" s="14"/>
      <c r="E112" s="14"/>
      <c r="F112" s="14"/>
      <c r="G112" s="14"/>
      <c r="H112" s="14"/>
      <c r="I112" s="14"/>
      <c r="J112" s="52"/>
      <c r="K112" s="52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>
        <v>300</v>
      </c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</row>
    <row r="113" spans="1:80" x14ac:dyDescent="0.25">
      <c r="A113" s="3" t="s">
        <v>96</v>
      </c>
      <c r="B113" s="14"/>
      <c r="C113" s="14"/>
      <c r="D113" s="14"/>
      <c r="E113" s="14"/>
      <c r="F113" s="14"/>
      <c r="G113" s="14"/>
      <c r="H113" s="14"/>
      <c r="I113" s="14"/>
      <c r="J113" s="52"/>
      <c r="K113" s="52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</row>
    <row r="114" spans="1:80" s="35" customFormat="1" x14ac:dyDescent="0.25">
      <c r="A114" s="34" t="s">
        <v>90</v>
      </c>
      <c r="B114" s="26">
        <v>6420</v>
      </c>
      <c r="C114" s="26">
        <v>4360</v>
      </c>
      <c r="D114" s="26">
        <v>380</v>
      </c>
      <c r="E114" s="26">
        <v>350</v>
      </c>
      <c r="F114" s="26"/>
      <c r="G114" s="26"/>
      <c r="H114" s="26">
        <v>200</v>
      </c>
      <c r="I114" s="26"/>
      <c r="J114" s="55"/>
      <c r="K114" s="55"/>
      <c r="L114" s="26"/>
      <c r="M114" s="26"/>
      <c r="N114" s="26"/>
      <c r="O114" s="26">
        <v>650</v>
      </c>
      <c r="P114" s="26"/>
      <c r="Q114" s="26"/>
      <c r="R114" s="26"/>
      <c r="S114" s="26"/>
      <c r="T114" s="26">
        <v>1200</v>
      </c>
      <c r="U114" s="26"/>
      <c r="V114" s="26">
        <v>200</v>
      </c>
      <c r="W114" s="26">
        <v>1760</v>
      </c>
      <c r="X114" s="26"/>
      <c r="Y114" s="26"/>
      <c r="Z114" s="26"/>
      <c r="AA114" s="26"/>
      <c r="AB114" s="26"/>
      <c r="AC114" s="26"/>
      <c r="AD114" s="26"/>
      <c r="AE114" s="26">
        <v>600</v>
      </c>
      <c r="AF114" s="26">
        <v>175</v>
      </c>
      <c r="AG114" s="26">
        <v>460</v>
      </c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</row>
    <row r="115" spans="1:80" x14ac:dyDescent="0.25">
      <c r="A115" s="3" t="s">
        <v>91</v>
      </c>
      <c r="B115" s="14">
        <v>2200</v>
      </c>
      <c r="C115" s="14">
        <v>2140</v>
      </c>
      <c r="D115" s="14"/>
      <c r="E115" s="14"/>
      <c r="F115" s="14"/>
      <c r="G115" s="14"/>
      <c r="H115" s="14"/>
      <c r="I115" s="14"/>
      <c r="J115" s="52">
        <v>760</v>
      </c>
      <c r="K115" s="52"/>
      <c r="L115" s="14"/>
      <c r="M115" s="14"/>
      <c r="N115" s="14"/>
      <c r="O115" s="14"/>
      <c r="P115" s="14"/>
      <c r="Q115" s="14"/>
      <c r="R115" s="14"/>
      <c r="S115" s="14"/>
      <c r="T115" s="14">
        <v>450</v>
      </c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22">
        <v>500</v>
      </c>
      <c r="AF115" s="22">
        <v>120</v>
      </c>
      <c r="AG115" s="22">
        <v>240</v>
      </c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</row>
    <row r="116" spans="1:80" s="33" customFormat="1" x14ac:dyDescent="0.25">
      <c r="A116" s="31" t="s">
        <v>92</v>
      </c>
      <c r="B116" s="32">
        <v>6420</v>
      </c>
      <c r="C116" s="32">
        <v>4360</v>
      </c>
      <c r="D116" s="32">
        <v>1300</v>
      </c>
      <c r="E116" s="32">
        <v>950</v>
      </c>
      <c r="F116" s="32"/>
      <c r="G116" s="32"/>
      <c r="H116" s="32"/>
      <c r="I116" s="32"/>
      <c r="J116" s="59">
        <v>1380</v>
      </c>
      <c r="K116" s="59"/>
      <c r="L116" s="32">
        <v>4200</v>
      </c>
      <c r="M116" s="32"/>
      <c r="N116" s="32"/>
      <c r="O116" s="32"/>
      <c r="P116" s="32"/>
      <c r="Q116" s="32"/>
      <c r="R116" s="32"/>
      <c r="S116" s="32"/>
      <c r="T116" s="32">
        <v>850</v>
      </c>
      <c r="U116" s="32">
        <v>640</v>
      </c>
      <c r="V116" s="32">
        <v>300</v>
      </c>
      <c r="W116" s="32"/>
      <c r="X116" s="32"/>
      <c r="Y116" s="32"/>
      <c r="Z116" s="32"/>
      <c r="AA116" s="32"/>
      <c r="AB116" s="32"/>
      <c r="AC116" s="32"/>
      <c r="AD116" s="32"/>
      <c r="AE116" s="32">
        <v>600</v>
      </c>
      <c r="AF116" s="32">
        <v>175</v>
      </c>
      <c r="AG116" s="32">
        <v>460</v>
      </c>
      <c r="AH116" s="32">
        <v>260</v>
      </c>
      <c r="AI116" s="32">
        <v>1640</v>
      </c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</row>
    <row r="117" spans="1:80" s="35" customFormat="1" x14ac:dyDescent="0.25">
      <c r="A117" s="34" t="s">
        <v>93</v>
      </c>
      <c r="B117" s="26"/>
      <c r="C117" s="26"/>
      <c r="D117" s="26">
        <v>380</v>
      </c>
      <c r="E117" s="26">
        <v>350</v>
      </c>
      <c r="F117" s="26"/>
      <c r="G117" s="26"/>
      <c r="H117" s="26"/>
      <c r="I117" s="26"/>
      <c r="J117" s="55"/>
      <c r="K117" s="55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>
        <v>600</v>
      </c>
      <c r="AF117" s="26">
        <v>175</v>
      </c>
      <c r="AG117" s="26">
        <v>460</v>
      </c>
      <c r="AH117" s="26"/>
      <c r="AI117" s="26"/>
      <c r="AJ117" s="26"/>
      <c r="AK117" s="26">
        <v>220</v>
      </c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</row>
    <row r="118" spans="1:80" x14ac:dyDescent="0.25">
      <c r="A118" s="3" t="s">
        <v>91</v>
      </c>
      <c r="B118" s="14"/>
      <c r="C118" s="14"/>
      <c r="D118" s="14"/>
      <c r="E118" s="14"/>
      <c r="F118" s="14"/>
      <c r="G118" s="14"/>
      <c r="H118" s="14"/>
      <c r="I118" s="14"/>
      <c r="J118" s="52"/>
      <c r="K118" s="52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>
        <v>300</v>
      </c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>
        <v>2850</v>
      </c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</row>
    <row r="119" spans="1:80" x14ac:dyDescent="0.25">
      <c r="A119" s="3" t="s">
        <v>304</v>
      </c>
      <c r="B119" s="14"/>
      <c r="C119" s="14"/>
      <c r="D119" s="14">
        <v>380</v>
      </c>
      <c r="E119" s="14">
        <v>350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>
        <v>300</v>
      </c>
      <c r="AF119" s="14">
        <v>110</v>
      </c>
      <c r="AG119" s="14">
        <v>120</v>
      </c>
      <c r="AH119" s="14"/>
      <c r="AI119" s="14">
        <v>350</v>
      </c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</row>
    <row r="120" spans="1:80" s="35" customFormat="1" x14ac:dyDescent="0.25">
      <c r="A120" s="34" t="s">
        <v>90</v>
      </c>
      <c r="B120" s="26">
        <v>6420</v>
      </c>
      <c r="C120" s="26">
        <v>4360</v>
      </c>
      <c r="D120" s="26" t="s">
        <v>319</v>
      </c>
      <c r="E120" s="26">
        <v>580</v>
      </c>
      <c r="F120" s="26"/>
      <c r="G120" s="26"/>
      <c r="H120" s="26"/>
      <c r="I120" s="26"/>
      <c r="J120" s="26"/>
      <c r="K120" s="26">
        <v>1380</v>
      </c>
      <c r="L120" s="26">
        <v>4200</v>
      </c>
      <c r="M120" s="26"/>
      <c r="N120" s="26"/>
      <c r="O120" s="26"/>
      <c r="P120" s="26"/>
      <c r="Q120" s="26"/>
      <c r="R120" s="26"/>
      <c r="S120" s="26"/>
      <c r="T120" s="26">
        <v>850</v>
      </c>
      <c r="U120" s="26">
        <v>640</v>
      </c>
      <c r="V120" s="26">
        <v>300</v>
      </c>
      <c r="W120" s="26"/>
      <c r="X120" s="26"/>
      <c r="Y120" s="26"/>
      <c r="Z120" s="26"/>
      <c r="AA120" s="26"/>
      <c r="AB120" s="26"/>
      <c r="AC120" s="26"/>
      <c r="AD120" s="26"/>
      <c r="AE120" s="26">
        <v>600</v>
      </c>
      <c r="AF120" s="26">
        <v>175</v>
      </c>
      <c r="AG120" s="26">
        <v>460</v>
      </c>
      <c r="AH120" s="26">
        <v>260</v>
      </c>
      <c r="AI120" s="26">
        <v>1640</v>
      </c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</row>
    <row r="121" spans="1:80" s="35" customFormat="1" x14ac:dyDescent="0.25">
      <c r="A121" s="34" t="s">
        <v>289</v>
      </c>
      <c r="B121" s="28">
        <v>6420</v>
      </c>
      <c r="C121" s="26"/>
      <c r="D121" s="26">
        <v>380</v>
      </c>
      <c r="E121" s="26">
        <v>350</v>
      </c>
      <c r="F121" s="26"/>
      <c r="G121" s="26"/>
      <c r="H121" s="26"/>
      <c r="I121" s="26"/>
      <c r="J121" s="55">
        <v>680</v>
      </c>
      <c r="K121" s="55"/>
      <c r="L121" s="26">
        <v>2920</v>
      </c>
      <c r="M121" s="26"/>
      <c r="N121" s="26"/>
      <c r="O121" s="26"/>
      <c r="P121" s="26"/>
      <c r="Q121" s="26"/>
      <c r="R121" s="26"/>
      <c r="S121" s="26"/>
      <c r="T121" s="26">
        <v>220</v>
      </c>
      <c r="U121" s="26"/>
      <c r="V121" s="26">
        <v>420</v>
      </c>
      <c r="W121" s="26"/>
      <c r="X121" s="26"/>
      <c r="Y121" s="26"/>
      <c r="Z121" s="26"/>
      <c r="AA121" s="26"/>
      <c r="AB121" s="26"/>
      <c r="AC121" s="26"/>
      <c r="AD121" s="26"/>
      <c r="AE121" s="26">
        <v>600</v>
      </c>
      <c r="AF121" s="26">
        <v>175</v>
      </c>
      <c r="AG121" s="26">
        <v>460</v>
      </c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</row>
    <row r="122" spans="1:80" x14ac:dyDescent="0.25">
      <c r="A122" s="4" t="s">
        <v>97</v>
      </c>
      <c r="B122" s="14"/>
      <c r="C122" s="14"/>
      <c r="D122" s="14"/>
      <c r="E122" s="14"/>
      <c r="F122" s="14"/>
      <c r="G122" s="14"/>
      <c r="H122" s="14"/>
      <c r="I122" s="14"/>
      <c r="J122" s="52"/>
      <c r="K122" s="52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</row>
    <row r="123" spans="1:80" s="35" customFormat="1" x14ac:dyDescent="0.25">
      <c r="A123" s="34" t="s">
        <v>98</v>
      </c>
      <c r="B123" s="26">
        <v>1180</v>
      </c>
      <c r="C123" s="26">
        <v>750</v>
      </c>
      <c r="D123" s="26">
        <v>480</v>
      </c>
      <c r="E123" s="26">
        <v>280</v>
      </c>
      <c r="F123" s="26"/>
      <c r="G123" s="26"/>
      <c r="H123" s="26"/>
      <c r="I123" s="26"/>
      <c r="J123" s="55">
        <v>250</v>
      </c>
      <c r="K123" s="55"/>
      <c r="L123" s="26"/>
      <c r="M123" s="26"/>
      <c r="N123" s="26">
        <v>480</v>
      </c>
      <c r="O123" s="26">
        <v>350</v>
      </c>
      <c r="P123" s="26"/>
      <c r="Q123" s="26"/>
      <c r="R123" s="26">
        <v>200</v>
      </c>
      <c r="S123" s="26"/>
      <c r="T123" s="26">
        <v>580</v>
      </c>
      <c r="U123" s="26"/>
      <c r="V123" s="26">
        <v>150</v>
      </c>
      <c r="W123" s="26"/>
      <c r="X123" s="26"/>
      <c r="Y123" s="26"/>
      <c r="Z123" s="26"/>
      <c r="AA123" s="26"/>
      <c r="AB123" s="26"/>
      <c r="AC123" s="26"/>
      <c r="AD123" s="26"/>
      <c r="AE123" s="26">
        <v>200</v>
      </c>
      <c r="AF123" s="26">
        <v>30</v>
      </c>
      <c r="AG123" s="26">
        <v>65</v>
      </c>
      <c r="AH123" s="26"/>
      <c r="AI123" s="26">
        <v>280</v>
      </c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>
        <v>600</v>
      </c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</row>
    <row r="124" spans="1:80" x14ac:dyDescent="0.25">
      <c r="A124" s="3" t="s">
        <v>99</v>
      </c>
      <c r="B124" s="22">
        <v>1860</v>
      </c>
      <c r="C124" s="22">
        <v>1620</v>
      </c>
      <c r="D124" s="22">
        <v>550</v>
      </c>
      <c r="E124" s="22">
        <v>420</v>
      </c>
      <c r="F124" s="14"/>
      <c r="G124" s="14"/>
      <c r="H124" s="14"/>
      <c r="I124" s="14"/>
      <c r="J124" s="53">
        <v>680</v>
      </c>
      <c r="K124" s="53"/>
      <c r="L124" s="14"/>
      <c r="M124" s="14">
        <v>200</v>
      </c>
      <c r="N124" s="14"/>
      <c r="O124" s="22">
        <v>530</v>
      </c>
      <c r="P124" s="14"/>
      <c r="Q124" s="14"/>
      <c r="R124" s="22">
        <v>280</v>
      </c>
      <c r="S124" s="22">
        <v>150</v>
      </c>
      <c r="T124" s="22">
        <v>780</v>
      </c>
      <c r="U124" s="14"/>
      <c r="V124" s="19">
        <v>200</v>
      </c>
      <c r="W124" s="14">
        <v>580</v>
      </c>
      <c r="X124" s="14">
        <v>680</v>
      </c>
      <c r="Y124" s="14"/>
      <c r="Z124" s="14"/>
      <c r="AA124" s="14"/>
      <c r="AB124" s="14"/>
      <c r="AC124" s="14"/>
      <c r="AD124" s="14"/>
      <c r="AE124" s="22">
        <v>400</v>
      </c>
      <c r="AF124" s="22">
        <v>85</v>
      </c>
      <c r="AG124" s="22">
        <v>145</v>
      </c>
      <c r="AH124" s="14"/>
      <c r="AI124" s="14">
        <v>280</v>
      </c>
      <c r="AJ124" s="14"/>
      <c r="AK124" s="14"/>
      <c r="AL124" s="14">
        <v>350</v>
      </c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</row>
    <row r="125" spans="1:80" s="20" customFormat="1" x14ac:dyDescent="0.25">
      <c r="A125" s="18" t="s">
        <v>100</v>
      </c>
      <c r="B125" s="22">
        <v>1860</v>
      </c>
      <c r="C125" s="22">
        <v>1620</v>
      </c>
      <c r="D125" s="22">
        <v>550</v>
      </c>
      <c r="E125" s="22">
        <v>420</v>
      </c>
      <c r="F125" s="19"/>
      <c r="G125" s="19"/>
      <c r="H125" s="19"/>
      <c r="I125" s="19"/>
      <c r="J125" s="53">
        <v>680</v>
      </c>
      <c r="K125" s="53"/>
      <c r="L125" s="19"/>
      <c r="M125" s="19"/>
      <c r="N125" s="19"/>
      <c r="O125" s="22">
        <v>530</v>
      </c>
      <c r="P125" s="19"/>
      <c r="Q125" s="19"/>
      <c r="R125" s="22">
        <v>280</v>
      </c>
      <c r="S125" s="22">
        <v>150</v>
      </c>
      <c r="T125" s="22">
        <v>780</v>
      </c>
      <c r="U125" s="19">
        <v>350</v>
      </c>
      <c r="V125" s="19">
        <v>200</v>
      </c>
      <c r="W125" s="19">
        <f>370*2</f>
        <v>740</v>
      </c>
      <c r="X125" s="19"/>
      <c r="Y125" s="19">
        <f>865*2</f>
        <v>1730</v>
      </c>
      <c r="Z125" s="19"/>
      <c r="AA125" s="19"/>
      <c r="AB125" s="19"/>
      <c r="AC125" s="19"/>
      <c r="AD125" s="19"/>
      <c r="AE125" s="22">
        <v>500</v>
      </c>
      <c r="AF125" s="22">
        <v>90</v>
      </c>
      <c r="AG125" s="22">
        <v>145</v>
      </c>
      <c r="AH125" s="19"/>
      <c r="AI125" s="19">
        <v>550</v>
      </c>
      <c r="AJ125" s="19"/>
      <c r="AK125" s="19">
        <v>155</v>
      </c>
      <c r="AL125" s="19"/>
      <c r="AM125" s="19"/>
      <c r="AN125" s="19"/>
      <c r="AO125" s="19"/>
      <c r="AP125" s="19"/>
      <c r="AQ125" s="19"/>
      <c r="AR125" s="19">
        <v>280</v>
      </c>
      <c r="AS125" s="19"/>
      <c r="AT125" s="19"/>
      <c r="AU125" s="19">
        <v>375</v>
      </c>
      <c r="AV125" s="19">
        <v>729</v>
      </c>
      <c r="AW125" s="19"/>
      <c r="AX125" s="19">
        <v>450</v>
      </c>
      <c r="AY125" s="19"/>
      <c r="AZ125" s="19"/>
      <c r="BA125" s="19">
        <f>93*5</f>
        <v>465</v>
      </c>
      <c r="BB125" s="19">
        <f>128*4</f>
        <v>512</v>
      </c>
      <c r="BC125" s="19"/>
      <c r="BD125" s="19"/>
      <c r="BE125" s="19">
        <v>780</v>
      </c>
      <c r="BF125" s="19"/>
      <c r="BG125" s="19"/>
      <c r="BH125" s="19"/>
      <c r="BI125" s="19">
        <v>460</v>
      </c>
      <c r="BJ125" s="19"/>
      <c r="BK125" s="19"/>
      <c r="BL125" s="19">
        <v>950</v>
      </c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</row>
    <row r="126" spans="1:80" x14ac:dyDescent="0.25">
      <c r="A126" s="3" t="s">
        <v>101</v>
      </c>
      <c r="B126" s="14"/>
      <c r="C126" s="14"/>
      <c r="D126" s="14"/>
      <c r="E126" s="14"/>
      <c r="F126" s="14"/>
      <c r="G126" s="14"/>
      <c r="H126" s="14"/>
      <c r="I126" s="14"/>
      <c r="J126" s="52"/>
      <c r="K126" s="52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>
        <v>200</v>
      </c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</row>
    <row r="127" spans="1:80" x14ac:dyDescent="0.25">
      <c r="A127" s="3" t="s">
        <v>102</v>
      </c>
      <c r="B127" s="14"/>
      <c r="C127" s="14"/>
      <c r="D127" s="14"/>
      <c r="E127" s="14"/>
      <c r="F127" s="14"/>
      <c r="G127" s="14"/>
      <c r="H127" s="14"/>
      <c r="I127" s="14"/>
      <c r="J127" s="52"/>
      <c r="K127" s="52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>
        <v>250</v>
      </c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</row>
    <row r="128" spans="1:80" x14ac:dyDescent="0.25">
      <c r="A128" s="3" t="s">
        <v>103</v>
      </c>
      <c r="B128" s="14"/>
      <c r="C128" s="14"/>
      <c r="D128" s="14"/>
      <c r="E128" s="14"/>
      <c r="F128" s="14"/>
      <c r="G128" s="14"/>
      <c r="H128" s="14"/>
      <c r="I128" s="14"/>
      <c r="J128" s="52"/>
      <c r="K128" s="52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>
        <v>250</v>
      </c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</row>
    <row r="129" spans="1:96" x14ac:dyDescent="0.25">
      <c r="A129" s="3" t="s">
        <v>107</v>
      </c>
      <c r="B129" s="14"/>
      <c r="C129" s="14"/>
      <c r="D129" s="14"/>
      <c r="E129" s="14"/>
      <c r="F129" s="14"/>
      <c r="G129" s="14"/>
      <c r="H129" s="14"/>
      <c r="I129" s="14"/>
      <c r="J129" s="52"/>
      <c r="K129" s="52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>
        <v>250</v>
      </c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</row>
    <row r="130" spans="1:96" x14ac:dyDescent="0.25">
      <c r="A130" s="3" t="s">
        <v>108</v>
      </c>
      <c r="B130" s="14">
        <v>1433</v>
      </c>
      <c r="C130" s="14">
        <v>940</v>
      </c>
      <c r="D130" s="14">
        <v>320</v>
      </c>
      <c r="E130" s="14">
        <v>280</v>
      </c>
      <c r="F130" s="14"/>
      <c r="G130" s="14"/>
      <c r="H130" s="14"/>
      <c r="I130" s="14"/>
      <c r="J130" s="52"/>
      <c r="K130" s="52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>
        <v>250</v>
      </c>
      <c r="AF130" s="14"/>
      <c r="AG130" s="14"/>
      <c r="AH130" s="14"/>
      <c r="AI130" s="14">
        <v>280</v>
      </c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</row>
    <row r="131" spans="1:96" x14ac:dyDescent="0.25">
      <c r="A131" s="3" t="s">
        <v>104</v>
      </c>
      <c r="B131" s="14"/>
      <c r="C131" s="14"/>
      <c r="D131" s="14"/>
      <c r="E131" s="14"/>
      <c r="F131" s="14"/>
      <c r="G131" s="14"/>
      <c r="H131" s="14"/>
      <c r="I131" s="14"/>
      <c r="J131" s="52"/>
      <c r="K131" s="52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>
        <v>250</v>
      </c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</row>
    <row r="132" spans="1:96" x14ac:dyDescent="0.25">
      <c r="A132" s="3" t="s">
        <v>109</v>
      </c>
      <c r="B132" s="14"/>
      <c r="C132" s="14"/>
      <c r="D132" s="14"/>
      <c r="E132" s="14"/>
      <c r="F132" s="14"/>
      <c r="G132" s="14"/>
      <c r="H132" s="14"/>
      <c r="I132" s="14"/>
      <c r="J132" s="52"/>
      <c r="K132" s="52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>
        <v>250</v>
      </c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>
        <v>1250</v>
      </c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</row>
    <row r="133" spans="1:96" s="38" customFormat="1" x14ac:dyDescent="0.25">
      <c r="A133" s="36" t="s">
        <v>105</v>
      </c>
      <c r="B133" s="37">
        <v>2850</v>
      </c>
      <c r="C133" s="37">
        <v>1800</v>
      </c>
      <c r="D133" s="37">
        <v>960</v>
      </c>
      <c r="E133" s="37">
        <v>620</v>
      </c>
      <c r="F133" s="37"/>
      <c r="G133" s="37"/>
      <c r="H133" s="37"/>
      <c r="I133" s="37"/>
      <c r="J133" s="56">
        <v>750</v>
      </c>
      <c r="K133" s="56"/>
      <c r="L133" s="37">
        <v>1680</v>
      </c>
      <c r="M133" s="37"/>
      <c r="N133" s="37"/>
      <c r="O133" s="37">
        <v>550</v>
      </c>
      <c r="P133" s="37"/>
      <c r="Q133" s="37"/>
      <c r="R133" s="37">
        <v>220</v>
      </c>
      <c r="S133" s="37">
        <v>200</v>
      </c>
      <c r="T133" s="37">
        <v>450</v>
      </c>
      <c r="U133" s="37">
        <v>320</v>
      </c>
      <c r="V133" s="37">
        <v>150</v>
      </c>
      <c r="W133" s="37"/>
      <c r="X133" s="37"/>
      <c r="Y133" s="37"/>
      <c r="Z133" s="37"/>
      <c r="AA133" s="37"/>
      <c r="AB133" s="37"/>
      <c r="AC133" s="37"/>
      <c r="AD133" s="37"/>
      <c r="AE133" s="37">
        <v>500</v>
      </c>
      <c r="AF133" s="37">
        <v>90</v>
      </c>
      <c r="AG133" s="37">
        <v>220</v>
      </c>
      <c r="AH133" s="37"/>
      <c r="AI133" s="37">
        <v>480</v>
      </c>
      <c r="AJ133" s="37"/>
      <c r="AK133" s="37"/>
      <c r="AL133" s="37"/>
      <c r="AM133" s="37">
        <v>750</v>
      </c>
      <c r="AN133" s="37"/>
      <c r="AO133" s="37"/>
      <c r="AP133" s="37"/>
      <c r="AQ133" s="37"/>
      <c r="AR133" s="37"/>
      <c r="AS133" s="37"/>
      <c r="AT133" s="37"/>
      <c r="AU133" s="37"/>
      <c r="AV133" s="37"/>
      <c r="AW133" s="37">
        <v>850</v>
      </c>
      <c r="AX133" s="37"/>
      <c r="AY133" s="37"/>
      <c r="AZ133" s="37"/>
      <c r="BA133" s="37"/>
      <c r="BB133" s="37"/>
      <c r="BC133" s="37"/>
      <c r="BD133" s="37"/>
      <c r="BE133" s="37">
        <v>550</v>
      </c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>
        <v>290</v>
      </c>
      <c r="BY133" s="37"/>
      <c r="BZ133" s="37"/>
      <c r="CA133" s="37"/>
      <c r="CB133" s="37"/>
      <c r="CK133" s="38">
        <v>780</v>
      </c>
      <c r="CR133" s="38" t="s">
        <v>326</v>
      </c>
    </row>
    <row r="134" spans="1:96" s="35" customFormat="1" x14ac:dyDescent="0.25">
      <c r="A134" s="34" t="s">
        <v>106</v>
      </c>
      <c r="B134" s="26">
        <v>2850</v>
      </c>
      <c r="C134" s="26">
        <v>1800</v>
      </c>
      <c r="D134" s="26">
        <v>960</v>
      </c>
      <c r="E134" s="26">
        <v>620</v>
      </c>
      <c r="F134" s="26"/>
      <c r="G134" s="26"/>
      <c r="H134" s="26">
        <v>400</v>
      </c>
      <c r="I134" s="26">
        <v>400</v>
      </c>
      <c r="J134" s="55">
        <v>980</v>
      </c>
      <c r="K134" s="55"/>
      <c r="L134" s="26"/>
      <c r="M134" s="26"/>
      <c r="N134" s="26"/>
      <c r="O134" s="26">
        <v>650</v>
      </c>
      <c r="P134" s="26"/>
      <c r="Q134" s="26">
        <v>1880</v>
      </c>
      <c r="R134" s="26">
        <v>300</v>
      </c>
      <c r="S134" s="26">
        <v>200</v>
      </c>
      <c r="T134" s="26">
        <v>560</v>
      </c>
      <c r="U134" s="26">
        <v>450</v>
      </c>
      <c r="V134" s="26">
        <v>250</v>
      </c>
      <c r="W134" s="26">
        <v>1720</v>
      </c>
      <c r="X134" s="26">
        <v>1680</v>
      </c>
      <c r="Y134" s="26"/>
      <c r="Z134" s="26"/>
      <c r="AA134" s="26">
        <v>700</v>
      </c>
      <c r="AB134" s="26"/>
      <c r="AC134" s="26"/>
      <c r="AD134" s="26"/>
      <c r="AE134" s="26">
        <v>600</v>
      </c>
      <c r="AF134" s="26">
        <v>110</v>
      </c>
      <c r="AG134" s="26">
        <v>240</v>
      </c>
      <c r="AH134" s="26">
        <v>85</v>
      </c>
      <c r="AI134" s="26">
        <v>850</v>
      </c>
      <c r="AJ134" s="26"/>
      <c r="AK134" s="26"/>
      <c r="AL134" s="26"/>
      <c r="AM134" s="26"/>
      <c r="AN134" s="26"/>
      <c r="AO134" s="26"/>
      <c r="AP134" s="26"/>
      <c r="AQ134" s="26"/>
      <c r="AR134" s="26">
        <v>180</v>
      </c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</row>
    <row r="135" spans="1:96" x14ac:dyDescent="0.25">
      <c r="B135" s="14"/>
      <c r="C135" s="14"/>
      <c r="D135" s="14"/>
      <c r="E135" s="14"/>
      <c r="F135" s="14"/>
      <c r="G135" s="14"/>
      <c r="H135" s="14"/>
      <c r="I135" s="14"/>
      <c r="J135" s="52"/>
      <c r="K135" s="52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</row>
    <row r="136" spans="1:96" x14ac:dyDescent="0.25">
      <c r="A136" s="4" t="s">
        <v>188</v>
      </c>
      <c r="B136" s="14"/>
      <c r="C136" s="14"/>
      <c r="D136" s="14"/>
      <c r="E136" s="14"/>
      <c r="F136" s="14"/>
      <c r="G136" s="14"/>
      <c r="H136" s="14"/>
      <c r="I136" s="14"/>
      <c r="J136" s="52"/>
      <c r="K136" s="52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</row>
    <row r="137" spans="1:96" x14ac:dyDescent="0.25">
      <c r="A137" s="3" t="s">
        <v>189</v>
      </c>
      <c r="B137" s="14"/>
      <c r="C137" s="14"/>
      <c r="D137" s="14">
        <v>430</v>
      </c>
      <c r="E137" s="14">
        <v>340</v>
      </c>
      <c r="F137" s="14"/>
      <c r="G137" s="14"/>
      <c r="H137" s="14"/>
      <c r="I137" s="14"/>
      <c r="J137" s="52"/>
      <c r="K137" s="52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>
        <v>200</v>
      </c>
      <c r="AF137" s="14">
        <v>130</v>
      </c>
      <c r="AG137" s="14">
        <v>180</v>
      </c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</row>
    <row r="138" spans="1:96" x14ac:dyDescent="0.25">
      <c r="B138" s="14"/>
      <c r="C138" s="14"/>
      <c r="D138" s="14"/>
      <c r="E138" s="14"/>
      <c r="F138" s="14"/>
      <c r="G138" s="14"/>
      <c r="H138" s="14"/>
      <c r="I138" s="14"/>
      <c r="J138" s="52"/>
      <c r="K138" s="52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</row>
    <row r="139" spans="1:96" x14ac:dyDescent="0.25">
      <c r="B139" s="14"/>
      <c r="C139" s="14"/>
      <c r="D139" s="14"/>
      <c r="E139" s="14"/>
      <c r="F139" s="14"/>
      <c r="G139" s="14"/>
      <c r="H139" s="14"/>
      <c r="I139" s="14"/>
      <c r="J139" s="52"/>
      <c r="K139" s="52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</row>
    <row r="140" spans="1:96" ht="14.25" customHeight="1" x14ac:dyDescent="0.25">
      <c r="A140" s="4" t="s">
        <v>207</v>
      </c>
      <c r="B140" s="14"/>
      <c r="C140" s="14"/>
      <c r="D140" s="14"/>
      <c r="E140" s="14"/>
      <c r="F140" s="14"/>
      <c r="G140" s="14"/>
      <c r="H140" s="14"/>
      <c r="I140" s="14"/>
      <c r="J140" s="52"/>
      <c r="K140" s="52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</row>
    <row r="141" spans="1:96" x14ac:dyDescent="0.25">
      <c r="A141" s="3" t="s">
        <v>208</v>
      </c>
      <c r="B141" s="14"/>
      <c r="C141" s="14"/>
      <c r="D141" s="14"/>
      <c r="E141" s="14"/>
      <c r="F141" s="14"/>
      <c r="G141" s="14"/>
      <c r="H141" s="14"/>
      <c r="I141" s="14"/>
      <c r="J141" s="52"/>
      <c r="K141" s="52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>
        <v>1400</v>
      </c>
      <c r="Z141" s="14"/>
      <c r="AA141" s="14"/>
      <c r="AB141" s="14"/>
      <c r="AC141" s="14"/>
      <c r="AD141" s="14"/>
      <c r="AE141" s="14">
        <v>150</v>
      </c>
      <c r="AF141" s="14">
        <v>40</v>
      </c>
      <c r="AG141" s="14">
        <v>65</v>
      </c>
      <c r="AH141" s="14"/>
      <c r="AI141" s="14">
        <v>280</v>
      </c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</row>
    <row r="142" spans="1:96" x14ac:dyDescent="0.25">
      <c r="B142" s="14"/>
      <c r="C142" s="14"/>
      <c r="D142" s="14"/>
      <c r="E142" s="14"/>
      <c r="F142" s="14"/>
      <c r="G142" s="14"/>
      <c r="H142" s="14"/>
      <c r="I142" s="14"/>
      <c r="J142" s="52"/>
      <c r="K142" s="52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>
        <v>250</v>
      </c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</row>
    <row r="143" spans="1:96" x14ac:dyDescent="0.25">
      <c r="B143" s="14"/>
      <c r="C143" s="14"/>
      <c r="D143" s="14"/>
      <c r="E143" s="14"/>
      <c r="F143" s="14"/>
      <c r="G143" s="14"/>
      <c r="H143" s="14"/>
      <c r="I143" s="14"/>
      <c r="J143" s="52"/>
      <c r="K143" s="52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>
        <v>80</v>
      </c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</row>
    <row r="144" spans="1:96" x14ac:dyDescent="0.25">
      <c r="A144" s="4" t="s">
        <v>210</v>
      </c>
      <c r="B144" s="14"/>
      <c r="C144" s="14"/>
      <c r="D144" s="14"/>
      <c r="E144" s="14"/>
      <c r="F144" s="14"/>
      <c r="G144" s="14"/>
      <c r="H144" s="14"/>
      <c r="I144" s="14"/>
      <c r="J144" s="52"/>
      <c r="K144" s="52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>
        <v>300</v>
      </c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</row>
    <row r="145" spans="1:85" x14ac:dyDescent="0.25">
      <c r="A145" s="3" t="s">
        <v>211</v>
      </c>
      <c r="B145" s="14"/>
      <c r="C145" s="14"/>
      <c r="D145" s="14">
        <v>420</v>
      </c>
      <c r="E145" s="14">
        <v>380</v>
      </c>
      <c r="F145" s="14"/>
      <c r="G145" s="14"/>
      <c r="H145" s="14"/>
      <c r="I145" s="14"/>
      <c r="J145" s="52"/>
      <c r="K145" s="52"/>
      <c r="L145" s="14"/>
      <c r="M145" s="14"/>
      <c r="N145" s="14"/>
      <c r="O145" s="14"/>
      <c r="P145" s="14"/>
      <c r="Q145" s="14"/>
      <c r="R145" s="14"/>
      <c r="S145" s="14"/>
      <c r="T145" s="14">
        <v>350</v>
      </c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>
        <v>200</v>
      </c>
      <c r="AF145" s="14">
        <v>80</v>
      </c>
      <c r="AG145" s="14">
        <v>220</v>
      </c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</row>
    <row r="146" spans="1:85" x14ac:dyDescent="0.25">
      <c r="A146" s="3" t="s">
        <v>226</v>
      </c>
      <c r="B146" s="14">
        <v>1800</v>
      </c>
      <c r="C146" s="14"/>
      <c r="D146" s="14"/>
      <c r="E146" s="14"/>
      <c r="F146" s="14"/>
      <c r="G146" s="14"/>
      <c r="H146" s="14"/>
      <c r="I146" s="14"/>
      <c r="J146" s="52"/>
      <c r="K146" s="52"/>
      <c r="L146" s="14"/>
      <c r="M146" s="14"/>
      <c r="N146" s="14"/>
      <c r="O146" s="14">
        <v>550</v>
      </c>
      <c r="P146" s="14">
        <v>1700</v>
      </c>
      <c r="Q146" s="14"/>
      <c r="R146" s="14"/>
      <c r="S146" s="14"/>
      <c r="T146" s="14">
        <v>350</v>
      </c>
      <c r="U146" s="14"/>
      <c r="V146" s="14">
        <v>200</v>
      </c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</row>
    <row r="147" spans="1:85" x14ac:dyDescent="0.25">
      <c r="A147" s="3" t="s">
        <v>285</v>
      </c>
      <c r="B147" s="14">
        <v>3381</v>
      </c>
      <c r="C147" s="14">
        <v>4800</v>
      </c>
      <c r="D147" s="14">
        <v>860</v>
      </c>
      <c r="E147" s="14">
        <v>380</v>
      </c>
      <c r="F147" s="14"/>
      <c r="G147" s="14"/>
      <c r="H147" s="14"/>
      <c r="I147" s="14"/>
      <c r="J147" s="14">
        <v>1160</v>
      </c>
      <c r="K147" s="14">
        <v>1640</v>
      </c>
      <c r="L147" s="14"/>
      <c r="M147" s="14"/>
      <c r="N147" s="14"/>
      <c r="O147" s="14"/>
      <c r="P147" s="14"/>
      <c r="Q147" s="14"/>
      <c r="R147" s="14">
        <v>760</v>
      </c>
      <c r="S147" s="14"/>
      <c r="T147" s="14">
        <v>620</v>
      </c>
      <c r="U147" s="14"/>
      <c r="V147" s="14">
        <v>200</v>
      </c>
      <c r="W147" s="14">
        <v>2320</v>
      </c>
      <c r="X147" s="14"/>
      <c r="Y147" s="14"/>
      <c r="Z147" s="14"/>
      <c r="AA147" s="14"/>
      <c r="AB147" s="14"/>
      <c r="AC147" s="14"/>
      <c r="AD147" s="14"/>
      <c r="AE147" s="14"/>
      <c r="AF147" s="14"/>
      <c r="AG147" s="14">
        <v>380</v>
      </c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</row>
    <row r="148" spans="1:85" x14ac:dyDescent="0.25">
      <c r="A148" s="3" t="s">
        <v>297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22">
        <v>400</v>
      </c>
      <c r="AF148" s="22">
        <v>70</v>
      </c>
      <c r="AG148" s="22">
        <v>150</v>
      </c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</row>
    <row r="149" spans="1:85" x14ac:dyDescent="0.25">
      <c r="A149" s="4" t="s">
        <v>275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</row>
    <row r="150" spans="1:85" x14ac:dyDescent="0.25">
      <c r="A150" s="3" t="s">
        <v>213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>
        <v>650</v>
      </c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</row>
    <row r="151" spans="1:85" x14ac:dyDescent="0.25">
      <c r="A151" s="3" t="s">
        <v>215</v>
      </c>
      <c r="B151" s="14">
        <v>1800</v>
      </c>
      <c r="C151" s="14">
        <v>1350</v>
      </c>
      <c r="D151" s="14">
        <v>380</v>
      </c>
      <c r="E151" s="14">
        <v>320</v>
      </c>
      <c r="F151" s="14"/>
      <c r="G151" s="14"/>
      <c r="H151" s="14"/>
      <c r="I151" s="14"/>
      <c r="J151" s="14"/>
      <c r="K151" s="14"/>
      <c r="L151" s="14"/>
      <c r="M151" s="14"/>
      <c r="N151" s="14">
        <v>680</v>
      </c>
      <c r="O151" s="14">
        <v>520</v>
      </c>
      <c r="P151" s="14">
        <v>2150</v>
      </c>
      <c r="Q151" s="14"/>
      <c r="R151" s="14"/>
      <c r="S151" s="14"/>
      <c r="T151" s="14"/>
      <c r="U151" s="14"/>
      <c r="V151" s="14"/>
      <c r="W151" s="14">
        <v>980</v>
      </c>
      <c r="X151" s="14"/>
      <c r="Y151" s="14"/>
      <c r="Z151" s="14"/>
      <c r="AA151" s="14"/>
      <c r="AB151" s="14"/>
      <c r="AC151" s="14">
        <v>1480</v>
      </c>
      <c r="AD151" s="14">
        <v>1380</v>
      </c>
      <c r="AE151" s="14">
        <v>200</v>
      </c>
      <c r="AF151" s="14">
        <v>60</v>
      </c>
      <c r="AG151" s="14">
        <v>165</v>
      </c>
      <c r="AH151" s="14"/>
      <c r="AI151" s="14">
        <v>350</v>
      </c>
      <c r="AJ151" s="14"/>
      <c r="AK151" s="14"/>
      <c r="AL151" s="14">
        <v>780</v>
      </c>
      <c r="AM151" s="14"/>
      <c r="AN151" s="14"/>
      <c r="AO151" s="14"/>
      <c r="AP151" s="14"/>
      <c r="AQ151" s="14"/>
      <c r="AR151" s="14"/>
      <c r="AS151" s="14"/>
      <c r="AT151" s="14"/>
      <c r="AU151" s="14"/>
      <c r="AV151" s="14">
        <v>850</v>
      </c>
      <c r="AW151" s="14"/>
      <c r="AX151" s="14"/>
      <c r="AY151" s="14">
        <v>340</v>
      </c>
      <c r="AZ151" s="14"/>
      <c r="BA151" s="14"/>
      <c r="BB151" s="14"/>
      <c r="BC151" s="14"/>
      <c r="BD151" s="14"/>
      <c r="BE151" s="14"/>
      <c r="BF151" s="14"/>
      <c r="BG151" s="14"/>
      <c r="BH151" s="14">
        <v>640</v>
      </c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>
        <v>650</v>
      </c>
      <c r="BU151" s="14"/>
      <c r="BV151" s="14"/>
      <c r="BW151" s="14"/>
      <c r="BX151" s="14"/>
      <c r="BY151" s="14"/>
      <c r="BZ151" s="14"/>
      <c r="CA151" s="14"/>
      <c r="CB151" s="14"/>
      <c r="CG151" s="2">
        <v>420</v>
      </c>
    </row>
    <row r="152" spans="1:85" x14ac:dyDescent="0.25">
      <c r="A152" s="3" t="s">
        <v>221</v>
      </c>
      <c r="B152" s="14"/>
      <c r="C152" s="14"/>
      <c r="D152" s="14">
        <v>480</v>
      </c>
      <c r="E152" s="14">
        <v>350</v>
      </c>
      <c r="F152" s="14"/>
      <c r="G152" s="14"/>
      <c r="H152" s="14"/>
      <c r="I152" s="14"/>
      <c r="J152" s="14"/>
      <c r="K152" s="14"/>
      <c r="L152" s="14"/>
      <c r="M152" s="14">
        <v>4850</v>
      </c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22">
        <v>1400</v>
      </c>
      <c r="AD152" s="14"/>
      <c r="AE152" s="19">
        <v>400</v>
      </c>
      <c r="AF152" s="19">
        <v>110</v>
      </c>
      <c r="AG152" s="19">
        <v>230</v>
      </c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>
        <v>520</v>
      </c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</row>
    <row r="153" spans="1:85" x14ac:dyDescent="0.25">
      <c r="A153" s="3" t="s">
        <v>222</v>
      </c>
      <c r="B153" s="14">
        <v>1750</v>
      </c>
      <c r="C153" s="14"/>
      <c r="D153" s="14"/>
      <c r="E153" s="14"/>
      <c r="F153" s="14"/>
      <c r="G153" s="14"/>
      <c r="H153" s="14"/>
      <c r="I153" s="14"/>
      <c r="J153" s="14"/>
      <c r="K153" s="14">
        <v>520</v>
      </c>
      <c r="L153" s="14"/>
      <c r="M153" s="14"/>
      <c r="N153" s="14"/>
      <c r="O153" s="14"/>
      <c r="P153" s="14"/>
      <c r="Q153" s="14"/>
      <c r="R153" s="14">
        <v>250</v>
      </c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</row>
    <row r="154" spans="1:85" x14ac:dyDescent="0.25"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</row>
    <row r="155" spans="1:85" x14ac:dyDescent="0.25">
      <c r="A155" s="4" t="s">
        <v>274</v>
      </c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</row>
    <row r="156" spans="1:85" x14ac:dyDescent="0.25">
      <c r="A156" s="3" t="s">
        <v>218</v>
      </c>
      <c r="B156" s="14">
        <v>850</v>
      </c>
      <c r="C156" s="14">
        <v>720</v>
      </c>
      <c r="D156" s="14">
        <v>320</v>
      </c>
      <c r="E156" s="14">
        <v>280</v>
      </c>
      <c r="F156" s="14"/>
      <c r="G156" s="14"/>
      <c r="H156" s="14"/>
      <c r="I156" s="14"/>
      <c r="J156" s="14"/>
      <c r="K156" s="14"/>
      <c r="L156" s="14"/>
      <c r="M156" s="14"/>
      <c r="N156" s="14">
        <v>280</v>
      </c>
      <c r="O156" s="14">
        <v>250</v>
      </c>
      <c r="P156" s="14"/>
      <c r="Q156" s="14"/>
      <c r="R156" s="14"/>
      <c r="S156" s="14"/>
      <c r="T156" s="14">
        <v>180</v>
      </c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>
        <v>100</v>
      </c>
      <c r="AF156" s="14">
        <v>85</v>
      </c>
      <c r="AG156" s="14">
        <v>95</v>
      </c>
      <c r="AH156" s="14"/>
      <c r="AI156" s="14"/>
      <c r="AJ156" s="14"/>
      <c r="AK156" s="14">
        <v>90</v>
      </c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</row>
    <row r="157" spans="1:85" x14ac:dyDescent="0.25"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</row>
    <row r="158" spans="1:85" x14ac:dyDescent="0.25"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</row>
    <row r="159" spans="1:85" x14ac:dyDescent="0.25">
      <c r="A159" s="4" t="s">
        <v>219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</row>
    <row r="160" spans="1:85" x14ac:dyDescent="0.25">
      <c r="A160" s="3" t="s">
        <v>220</v>
      </c>
      <c r="B160" s="14"/>
      <c r="C160" s="14"/>
      <c r="D160" s="14">
        <v>480</v>
      </c>
      <c r="E160" s="14">
        <v>360</v>
      </c>
      <c r="F160" s="14">
        <v>320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</row>
    <row r="161" spans="1:89" x14ac:dyDescent="0.25">
      <c r="A161" s="3" t="s">
        <v>286</v>
      </c>
      <c r="B161" s="14"/>
      <c r="C161" s="14"/>
      <c r="D161" s="14">
        <v>420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</row>
    <row r="162" spans="1:89" x14ac:dyDescent="0.25"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>
        <v>600</v>
      </c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</row>
    <row r="163" spans="1:89" x14ac:dyDescent="0.25">
      <c r="A163" s="4" t="s">
        <v>269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>
        <v>252</v>
      </c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</row>
    <row r="164" spans="1:89" s="35" customFormat="1" x14ac:dyDescent="0.25">
      <c r="A164" s="34" t="s">
        <v>311</v>
      </c>
      <c r="B164" s="26"/>
      <c r="C164" s="26"/>
      <c r="D164" s="28">
        <v>1680</v>
      </c>
      <c r="E164" s="26">
        <v>950</v>
      </c>
      <c r="F164" s="26">
        <v>320</v>
      </c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>
        <v>300</v>
      </c>
      <c r="AF164" s="26">
        <v>245</v>
      </c>
      <c r="AG164" s="26">
        <v>545</v>
      </c>
      <c r="AH164" s="26"/>
      <c r="AI164" s="26">
        <v>960</v>
      </c>
      <c r="AJ164" s="26"/>
      <c r="AK164" s="26"/>
      <c r="AL164" s="26"/>
      <c r="AM164" s="26"/>
      <c r="AN164" s="26"/>
      <c r="AO164" s="26"/>
      <c r="AP164" s="26">
        <v>545</v>
      </c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K164" s="35">
        <v>1600</v>
      </c>
    </row>
    <row r="165" spans="1:89" s="38" customFormat="1" x14ac:dyDescent="0.25">
      <c r="A165" s="36" t="s">
        <v>270</v>
      </c>
      <c r="B165" s="37"/>
      <c r="C165" s="37"/>
      <c r="D165" s="37">
        <v>1680</v>
      </c>
      <c r="E165" s="37">
        <v>950</v>
      </c>
      <c r="F165" s="37">
        <v>380</v>
      </c>
      <c r="G165" s="37"/>
      <c r="H165" s="37"/>
      <c r="I165" s="37"/>
      <c r="J165" s="37"/>
      <c r="K165" s="37"/>
      <c r="L165" s="37">
        <v>6640</v>
      </c>
      <c r="M165" s="37">
        <v>5920</v>
      </c>
      <c r="N165" s="37"/>
      <c r="O165" s="37"/>
      <c r="P165" s="37"/>
      <c r="Q165" s="37"/>
      <c r="R165" s="37"/>
      <c r="S165" s="37"/>
      <c r="T165" s="37">
        <v>750</v>
      </c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>
        <v>300</v>
      </c>
      <c r="AF165" s="37"/>
      <c r="AG165" s="37"/>
      <c r="AH165" s="37"/>
      <c r="AI165" s="37">
        <v>960</v>
      </c>
      <c r="AJ165" s="37"/>
      <c r="AK165" s="37"/>
      <c r="AL165" s="37"/>
      <c r="AM165" s="37"/>
      <c r="AN165" s="37"/>
      <c r="AO165" s="37"/>
      <c r="AP165" s="37">
        <v>780</v>
      </c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>
        <v>4500</v>
      </c>
      <c r="CB165" s="37"/>
    </row>
    <row r="166" spans="1:89" s="35" customFormat="1" x14ac:dyDescent="0.25">
      <c r="A166" s="34" t="s">
        <v>294</v>
      </c>
      <c r="B166" s="26">
        <v>15912.58</v>
      </c>
      <c r="C166" s="26">
        <v>19267.88</v>
      </c>
      <c r="D166" s="26">
        <v>3760.02</v>
      </c>
      <c r="E166" s="26">
        <v>1572</v>
      </c>
      <c r="F166" s="26">
        <v>488.11</v>
      </c>
      <c r="G166" s="26">
        <v>488.11</v>
      </c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>
        <v>150</v>
      </c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</row>
    <row r="167" spans="1:89" s="38" customFormat="1" x14ac:dyDescent="0.25">
      <c r="A167" s="36" t="s">
        <v>271</v>
      </c>
      <c r="B167" s="37"/>
      <c r="C167" s="37"/>
      <c r="D167" s="37">
        <v>1680</v>
      </c>
      <c r="E167" s="37">
        <v>950</v>
      </c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48"/>
      <c r="R167" s="48"/>
      <c r="S167" s="37"/>
      <c r="T167" s="37"/>
      <c r="U167" s="37"/>
      <c r="V167" s="37"/>
      <c r="W167" s="37">
        <v>1300</v>
      </c>
      <c r="X167" s="37"/>
      <c r="Y167" s="37"/>
      <c r="Z167" s="37"/>
      <c r="AA167" s="37"/>
      <c r="AB167" s="37"/>
      <c r="AC167" s="37"/>
      <c r="AD167" s="37"/>
      <c r="AE167" s="37">
        <v>600</v>
      </c>
      <c r="AF167" s="37">
        <v>252</v>
      </c>
      <c r="AG167" s="37">
        <v>545</v>
      </c>
      <c r="AH167" s="37"/>
      <c r="AI167" s="37">
        <v>880</v>
      </c>
      <c r="AJ167" s="37"/>
      <c r="AK167" s="37">
        <v>780</v>
      </c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</row>
    <row r="168" spans="1:89" s="35" customFormat="1" x14ac:dyDescent="0.25">
      <c r="A168" s="34" t="s">
        <v>272</v>
      </c>
      <c r="B168" s="26"/>
      <c r="C168" s="26"/>
      <c r="D168" s="26">
        <v>1010</v>
      </c>
      <c r="E168" s="26">
        <v>840</v>
      </c>
      <c r="F168" s="26">
        <v>295</v>
      </c>
      <c r="G168" s="26"/>
      <c r="H168" s="26"/>
      <c r="I168" s="26"/>
      <c r="J168" s="26">
        <v>960</v>
      </c>
      <c r="K168" s="26">
        <v>1480</v>
      </c>
      <c r="L168" s="26"/>
      <c r="M168" s="26"/>
      <c r="N168" s="26"/>
      <c r="O168" s="26">
        <v>870</v>
      </c>
      <c r="P168" s="26"/>
      <c r="Q168" s="34"/>
      <c r="R168" s="34">
        <v>760</v>
      </c>
      <c r="S168" s="26"/>
      <c r="T168" s="26">
        <v>950</v>
      </c>
      <c r="U168" s="26">
        <v>710</v>
      </c>
      <c r="V168" s="26">
        <v>400</v>
      </c>
      <c r="W168" s="26"/>
      <c r="X168" s="26"/>
      <c r="Y168" s="26"/>
      <c r="Z168" s="26"/>
      <c r="AA168" s="26"/>
      <c r="AB168" s="26"/>
      <c r="AC168" s="26">
        <v>760</v>
      </c>
      <c r="AD168" s="26"/>
      <c r="AE168" s="26">
        <v>300</v>
      </c>
      <c r="AF168" s="26">
        <v>110</v>
      </c>
      <c r="AG168" s="26"/>
      <c r="AH168" s="26"/>
      <c r="AI168" s="26">
        <v>880</v>
      </c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>
        <v>1120</v>
      </c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>
        <v>7600</v>
      </c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</row>
    <row r="169" spans="1:89" x14ac:dyDescent="0.25"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</row>
    <row r="170" spans="1:89" x14ac:dyDescent="0.25"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</row>
    <row r="171" spans="1:89" x14ac:dyDescent="0.25"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</row>
    <row r="172" spans="1:89" x14ac:dyDescent="0.25">
      <c r="A172" s="4" t="s">
        <v>279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</row>
    <row r="173" spans="1:89" x14ac:dyDescent="0.25">
      <c r="A173" s="3" t="s">
        <v>280</v>
      </c>
      <c r="B173" s="14">
        <v>1950</v>
      </c>
      <c r="C173" s="14">
        <v>1650</v>
      </c>
      <c r="D173" s="14">
        <v>580</v>
      </c>
      <c r="E173" s="14">
        <v>420</v>
      </c>
      <c r="F173" s="14"/>
      <c r="G173" s="14"/>
      <c r="H173" s="14">
        <v>400</v>
      </c>
      <c r="I173" s="14">
        <v>400</v>
      </c>
      <c r="J173" s="14">
        <v>850</v>
      </c>
      <c r="K173" s="14"/>
      <c r="L173" s="14"/>
      <c r="M173" s="14"/>
      <c r="N173" s="14"/>
      <c r="O173" s="14"/>
      <c r="P173" s="14"/>
      <c r="Q173" s="14"/>
      <c r="R173" s="14">
        <v>350</v>
      </c>
      <c r="S173" s="14"/>
      <c r="T173" s="14">
        <v>560</v>
      </c>
      <c r="U173" s="14"/>
      <c r="V173" s="14">
        <v>200</v>
      </c>
      <c r="W173" s="14"/>
      <c r="X173" s="14"/>
      <c r="Y173" s="14"/>
      <c r="Z173" s="14"/>
      <c r="AA173" s="14"/>
      <c r="AB173" s="14"/>
      <c r="AC173" s="14"/>
      <c r="AD173" s="14"/>
      <c r="AE173" s="14">
        <v>200</v>
      </c>
      <c r="AF173" s="14">
        <v>55</v>
      </c>
      <c r="AG173" s="14">
        <v>160</v>
      </c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>
        <v>1500</v>
      </c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</row>
    <row r="174" spans="1:89" x14ac:dyDescent="0.25"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</row>
    <row r="175" spans="1:89" x14ac:dyDescent="0.25">
      <c r="A175" s="4" t="s">
        <v>287</v>
      </c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</row>
    <row r="176" spans="1:89" x14ac:dyDescent="0.25">
      <c r="A176" s="3" t="s">
        <v>288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</row>
    <row r="177" spans="1:97" x14ac:dyDescent="0.25"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</row>
    <row r="178" spans="1:97" x14ac:dyDescent="0.25">
      <c r="A178" s="4" t="s">
        <v>292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</row>
    <row r="179" spans="1:97" x14ac:dyDescent="0.25">
      <c r="A179" s="3" t="s">
        <v>293</v>
      </c>
      <c r="B179" s="22">
        <v>4200</v>
      </c>
      <c r="C179" s="14">
        <v>1760</v>
      </c>
      <c r="D179" s="22">
        <v>740</v>
      </c>
      <c r="E179" s="14"/>
      <c r="F179" s="14"/>
      <c r="G179" s="14"/>
      <c r="H179" s="14"/>
      <c r="I179" s="14"/>
      <c r="J179" s="14">
        <v>760</v>
      </c>
      <c r="K179" s="14"/>
      <c r="L179" s="14"/>
      <c r="M179" s="14"/>
      <c r="N179" s="14"/>
      <c r="O179" s="14">
        <v>680</v>
      </c>
      <c r="P179" s="22">
        <v>600</v>
      </c>
      <c r="Q179" s="14"/>
      <c r="R179" s="14">
        <v>340</v>
      </c>
      <c r="S179" s="14"/>
      <c r="T179" s="22">
        <v>620</v>
      </c>
      <c r="U179" s="14">
        <v>520</v>
      </c>
      <c r="V179" s="22">
        <v>350</v>
      </c>
      <c r="W179" s="22">
        <v>1360</v>
      </c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</row>
    <row r="180" spans="1:97" x14ac:dyDescent="0.25">
      <c r="A180" s="3" t="s">
        <v>331</v>
      </c>
      <c r="B180" s="14"/>
      <c r="C180" s="14"/>
      <c r="D180" s="22">
        <v>680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22">
        <v>680</v>
      </c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22">
        <v>600</v>
      </c>
      <c r="AF180" s="22">
        <v>120</v>
      </c>
      <c r="AG180" s="22">
        <v>340</v>
      </c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</row>
    <row r="181" spans="1:97" x14ac:dyDescent="0.25">
      <c r="A181" s="3" t="s">
        <v>310</v>
      </c>
      <c r="B181" s="14"/>
      <c r="C181" s="14">
        <v>1200</v>
      </c>
      <c r="D181" s="14">
        <v>480</v>
      </c>
      <c r="E181" s="14">
        <v>360</v>
      </c>
      <c r="F181" s="14"/>
      <c r="G181" s="14"/>
      <c r="H181" s="14"/>
      <c r="I181" s="14"/>
      <c r="J181" s="14">
        <v>550</v>
      </c>
      <c r="K181" s="14"/>
      <c r="L181" s="14"/>
      <c r="M181" s="14"/>
      <c r="N181" s="14"/>
      <c r="O181" s="14"/>
      <c r="P181" s="14"/>
      <c r="Q181" s="14"/>
      <c r="R181" s="14"/>
      <c r="S181" s="14"/>
      <c r="T181" s="14">
        <v>350</v>
      </c>
      <c r="U181" s="14">
        <v>350</v>
      </c>
      <c r="V181" s="14">
        <v>220</v>
      </c>
      <c r="W181" s="14"/>
      <c r="X181" s="14"/>
      <c r="Y181" s="14"/>
      <c r="Z181" s="14"/>
      <c r="AA181" s="14"/>
      <c r="AB181" s="14"/>
      <c r="AC181" s="14"/>
      <c r="AD181" s="14"/>
      <c r="AE181" s="22">
        <v>600</v>
      </c>
      <c r="AF181" s="22">
        <v>120</v>
      </c>
      <c r="AG181" s="22">
        <v>340</v>
      </c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</row>
    <row r="182" spans="1:97" x14ac:dyDescent="0.25">
      <c r="A182" s="4" t="s">
        <v>299</v>
      </c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</row>
    <row r="183" spans="1:97" x14ac:dyDescent="0.25">
      <c r="A183" s="3" t="s">
        <v>300</v>
      </c>
      <c r="B183" s="14"/>
      <c r="C183" s="14"/>
      <c r="D183" s="14">
        <v>350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</row>
    <row r="184" spans="1:97" x14ac:dyDescent="0.25">
      <c r="A184" s="3" t="s">
        <v>320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>
        <v>300</v>
      </c>
      <c r="AF184" s="14">
        <v>120</v>
      </c>
      <c r="AG184" s="14">
        <v>280</v>
      </c>
      <c r="AH184" s="14">
        <v>50</v>
      </c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</row>
    <row r="185" spans="1:97" x14ac:dyDescent="0.25">
      <c r="A185" s="4" t="s">
        <v>329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</row>
    <row r="186" spans="1:97" x14ac:dyDescent="0.25">
      <c r="A186" s="3" t="s">
        <v>330</v>
      </c>
      <c r="B186" s="14"/>
      <c r="C186" s="14"/>
      <c r="D186" s="22">
        <v>620</v>
      </c>
      <c r="E186" s="22">
        <v>450</v>
      </c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>
        <v>250</v>
      </c>
      <c r="AF186" s="14">
        <v>70</v>
      </c>
      <c r="AG186" s="14">
        <v>120</v>
      </c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S186" s="23">
        <v>1280</v>
      </c>
    </row>
    <row r="187" spans="1:97" x14ac:dyDescent="0.25"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</row>
    <row r="188" spans="1:97" x14ac:dyDescent="0.25">
      <c r="A188" s="4" t="s">
        <v>306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</row>
    <row r="189" spans="1:97" x14ac:dyDescent="0.25">
      <c r="A189" s="3" t="s">
        <v>307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>
        <v>350</v>
      </c>
      <c r="U189" s="14">
        <v>350</v>
      </c>
      <c r="V189" s="14">
        <v>200</v>
      </c>
      <c r="W189" s="14"/>
      <c r="X189" s="14"/>
      <c r="Y189" s="14"/>
      <c r="Z189" s="14"/>
      <c r="AA189" s="14"/>
      <c r="AB189" s="14"/>
      <c r="AC189" s="14"/>
      <c r="AD189" s="14"/>
      <c r="AE189" s="14">
        <v>250</v>
      </c>
      <c r="AF189" s="14">
        <v>80</v>
      </c>
      <c r="AG189" s="14">
        <v>120</v>
      </c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</row>
    <row r="190" spans="1:97" s="33" customFormat="1" x14ac:dyDescent="0.25">
      <c r="A190" s="31" t="s">
        <v>308</v>
      </c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>
        <v>600</v>
      </c>
      <c r="AF190" s="32">
        <v>160</v>
      </c>
      <c r="AG190" s="32">
        <v>350</v>
      </c>
      <c r="AH190" s="32">
        <v>180</v>
      </c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</row>
    <row r="191" spans="1:97" s="33" customFormat="1" x14ac:dyDescent="0.25">
      <c r="A191" s="31" t="s">
        <v>340</v>
      </c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>
        <v>600</v>
      </c>
      <c r="AF191" s="32">
        <v>160</v>
      </c>
      <c r="AG191" s="32">
        <v>350</v>
      </c>
      <c r="AH191" s="32">
        <v>180</v>
      </c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</row>
    <row r="192" spans="1:97" x14ac:dyDescent="0.25">
      <c r="A192" s="4" t="s">
        <v>313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</row>
    <row r="193" spans="1:80" x14ac:dyDescent="0.25">
      <c r="A193" s="3" t="s">
        <v>314</v>
      </c>
      <c r="B193" s="14">
        <v>1850</v>
      </c>
      <c r="C193" s="14"/>
      <c r="D193" s="14">
        <v>380</v>
      </c>
      <c r="E193" s="14">
        <v>350</v>
      </c>
      <c r="F193" s="14"/>
      <c r="G193" s="14"/>
      <c r="H193" s="14"/>
      <c r="I193" s="14"/>
      <c r="J193" s="14">
        <v>750</v>
      </c>
      <c r="K193" s="14"/>
      <c r="L193" s="14"/>
      <c r="M193" s="14"/>
      <c r="N193" s="14"/>
      <c r="O193" s="14"/>
      <c r="P193" s="14"/>
      <c r="Q193" s="14"/>
      <c r="R193" s="14">
        <v>300</v>
      </c>
      <c r="S193" s="14"/>
      <c r="T193" s="14">
        <v>380</v>
      </c>
      <c r="U193" s="14"/>
      <c r="V193" s="14">
        <v>200</v>
      </c>
      <c r="W193" s="14"/>
      <c r="X193" s="14"/>
      <c r="Y193" s="14"/>
      <c r="Z193" s="14"/>
      <c r="AA193" s="14"/>
      <c r="AB193" s="14"/>
      <c r="AC193" s="14"/>
      <c r="AD193" s="14"/>
      <c r="AE193" s="14">
        <v>250</v>
      </c>
      <c r="AF193" s="14">
        <v>60</v>
      </c>
      <c r="AG193" s="14">
        <v>120</v>
      </c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</row>
    <row r="194" spans="1:80" x14ac:dyDescent="0.25"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</row>
    <row r="195" spans="1:80" x14ac:dyDescent="0.25">
      <c r="A195" s="4" t="s">
        <v>324</v>
      </c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</row>
    <row r="196" spans="1:80" ht="15" customHeight="1" x14ac:dyDescent="0.25">
      <c r="A196" s="17" t="s">
        <v>325</v>
      </c>
      <c r="B196" s="22">
        <v>4680</v>
      </c>
      <c r="C196" s="22">
        <v>2820</v>
      </c>
      <c r="D196" s="24">
        <v>880</v>
      </c>
      <c r="E196" s="24">
        <v>620</v>
      </c>
      <c r="F196" s="14"/>
      <c r="G196" s="14"/>
      <c r="H196" s="14"/>
      <c r="I196" s="14"/>
      <c r="J196" s="14">
        <v>760</v>
      </c>
      <c r="K196" s="14">
        <v>980</v>
      </c>
      <c r="L196" s="14"/>
      <c r="M196" s="14"/>
      <c r="N196" s="14"/>
      <c r="O196" s="14">
        <v>540</v>
      </c>
      <c r="P196" s="14"/>
      <c r="Q196" s="14"/>
      <c r="R196" s="14">
        <v>480</v>
      </c>
      <c r="S196" s="14"/>
      <c r="T196" s="14">
        <v>450</v>
      </c>
      <c r="U196" s="14">
        <v>320</v>
      </c>
      <c r="V196" s="14">
        <v>200</v>
      </c>
      <c r="W196" s="14">
        <v>1680</v>
      </c>
      <c r="X196" s="14"/>
      <c r="Y196" s="14"/>
      <c r="Z196" s="14"/>
      <c r="AA196" s="14"/>
      <c r="AB196" s="14"/>
      <c r="AC196" s="14">
        <v>1220</v>
      </c>
      <c r="AD196" s="14"/>
      <c r="AE196" s="14">
        <v>350</v>
      </c>
      <c r="AF196" s="14">
        <v>85</v>
      </c>
      <c r="AG196" s="14">
        <v>180</v>
      </c>
      <c r="AH196" s="14"/>
      <c r="AI196" s="14">
        <v>560</v>
      </c>
      <c r="AJ196" s="14"/>
      <c r="AK196" s="14">
        <v>220</v>
      </c>
      <c r="AL196" s="14">
        <v>450</v>
      </c>
      <c r="AM196" s="14"/>
      <c r="AN196" s="14"/>
      <c r="AO196" s="14"/>
      <c r="AP196" s="14">
        <v>640</v>
      </c>
      <c r="AQ196" s="14"/>
      <c r="AR196" s="14"/>
      <c r="AS196" s="14"/>
      <c r="AT196" s="14"/>
      <c r="AU196" s="14">
        <v>460</v>
      </c>
      <c r="AV196" s="14">
        <v>580</v>
      </c>
      <c r="AW196" s="14"/>
      <c r="AX196" s="14"/>
      <c r="AY196" s="14">
        <v>420</v>
      </c>
      <c r="AZ196" s="14"/>
      <c r="BA196" s="14"/>
      <c r="BB196" s="14">
        <v>1130</v>
      </c>
      <c r="BC196" s="14">
        <v>1280</v>
      </c>
      <c r="BD196" s="14">
        <v>1640</v>
      </c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</row>
    <row r="197" spans="1:80" x14ac:dyDescent="0.25"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</row>
    <row r="198" spans="1:80" x14ac:dyDescent="0.25"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</row>
    <row r="199" spans="1:80" x14ac:dyDescent="0.25"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</row>
    <row r="200" spans="1:80" x14ac:dyDescent="0.25"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</row>
    <row r="201" spans="1:80" x14ac:dyDescent="0.25"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</row>
    <row r="202" spans="1:80" x14ac:dyDescent="0.25"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</row>
    <row r="203" spans="1:80" x14ac:dyDescent="0.25"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</row>
    <row r="204" spans="1:80" x14ac:dyDescent="0.25"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</row>
    <row r="205" spans="1:80" x14ac:dyDescent="0.25"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</row>
    <row r="206" spans="1:80" x14ac:dyDescent="0.25"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</row>
    <row r="207" spans="1:80" x14ac:dyDescent="0.25"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</row>
    <row r="208" spans="1:80" x14ac:dyDescent="0.25"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</row>
    <row r="209" spans="2:80" x14ac:dyDescent="0.25"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</row>
    <row r="210" spans="2:80" x14ac:dyDescent="0.25"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</row>
    <row r="211" spans="2:80" x14ac:dyDescent="0.25"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</row>
    <row r="212" spans="2:80" x14ac:dyDescent="0.25"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</row>
    <row r="213" spans="2:80" x14ac:dyDescent="0.25"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</row>
    <row r="214" spans="2:80" x14ac:dyDescent="0.25"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</row>
    <row r="215" spans="2:80" x14ac:dyDescent="0.25"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</row>
    <row r="216" spans="2:80" x14ac:dyDescent="0.25"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</row>
    <row r="217" spans="2:80" x14ac:dyDescent="0.25"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</row>
    <row r="218" spans="2:80" x14ac:dyDescent="0.25"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</row>
    <row r="219" spans="2:80" x14ac:dyDescent="0.25"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</row>
    <row r="220" spans="2:80" x14ac:dyDescent="0.25"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</row>
    <row r="221" spans="2:80" x14ac:dyDescent="0.25"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</row>
    <row r="222" spans="2:80" x14ac:dyDescent="0.25"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</row>
    <row r="223" spans="2:80" x14ac:dyDescent="0.25"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</row>
    <row r="224" spans="2:80" x14ac:dyDescent="0.25"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</row>
    <row r="225" spans="2:80" x14ac:dyDescent="0.25"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</row>
    <row r="226" spans="2:80" x14ac:dyDescent="0.25"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</row>
    <row r="227" spans="2:80" x14ac:dyDescent="0.25"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</row>
    <row r="228" spans="2:80" x14ac:dyDescent="0.25"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</row>
    <row r="229" spans="2:80" x14ac:dyDescent="0.25"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</row>
    <row r="230" spans="2:80" x14ac:dyDescent="0.25"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</row>
    <row r="231" spans="2:80" x14ac:dyDescent="0.25"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</row>
    <row r="232" spans="2:80" x14ac:dyDescent="0.25"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</row>
    <row r="233" spans="2:80" x14ac:dyDescent="0.25"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</row>
    <row r="234" spans="2:80" x14ac:dyDescent="0.25"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</row>
    <row r="235" spans="2:80" x14ac:dyDescent="0.25"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</row>
    <row r="236" spans="2:80" x14ac:dyDescent="0.25"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</row>
    <row r="237" spans="2:80" x14ac:dyDescent="0.25"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</row>
    <row r="238" spans="2:80" x14ac:dyDescent="0.25"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</row>
    <row r="239" spans="2:80" x14ac:dyDescent="0.25"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</row>
    <row r="240" spans="2:80" x14ac:dyDescent="0.25"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</row>
    <row r="241" spans="2:80" x14ac:dyDescent="0.25"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</row>
    <row r="242" spans="2:80" x14ac:dyDescent="0.25"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</row>
    <row r="243" spans="2:80" x14ac:dyDescent="0.25"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</row>
    <row r="244" spans="2:80" x14ac:dyDescent="0.25"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</row>
    <row r="245" spans="2:80" x14ac:dyDescent="0.25"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</row>
    <row r="246" spans="2:80" x14ac:dyDescent="0.25"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</row>
    <row r="247" spans="2:80" x14ac:dyDescent="0.25"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</row>
    <row r="248" spans="2:80" x14ac:dyDescent="0.25"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</row>
    <row r="249" spans="2:80" x14ac:dyDescent="0.25"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</row>
    <row r="250" spans="2:80" x14ac:dyDescent="0.25"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</row>
    <row r="251" spans="2:80" x14ac:dyDescent="0.25"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</row>
    <row r="252" spans="2:80" x14ac:dyDescent="0.25"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</row>
    <row r="253" spans="2:80" x14ac:dyDescent="0.25"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</row>
    <row r="254" spans="2:80" x14ac:dyDescent="0.25"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</row>
    <row r="255" spans="2:80" x14ac:dyDescent="0.25"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</row>
    <row r="256" spans="2:80" x14ac:dyDescent="0.25"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</row>
    <row r="257" spans="2:80" x14ac:dyDescent="0.25"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</row>
    <row r="258" spans="2:80" x14ac:dyDescent="0.25"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</row>
    <row r="259" spans="2:80" x14ac:dyDescent="0.25"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</row>
    <row r="260" spans="2:80" x14ac:dyDescent="0.25"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</row>
    <row r="261" spans="2:80" x14ac:dyDescent="0.25"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</row>
    <row r="262" spans="2:80" x14ac:dyDescent="0.25"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</row>
    <row r="263" spans="2:80" x14ac:dyDescent="0.25"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</row>
    <row r="264" spans="2:80" x14ac:dyDescent="0.25"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</row>
    <row r="265" spans="2:80" x14ac:dyDescent="0.25"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</row>
    <row r="266" spans="2:80" x14ac:dyDescent="0.25"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</row>
    <row r="267" spans="2:80" x14ac:dyDescent="0.25"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</row>
    <row r="268" spans="2:80" x14ac:dyDescent="0.25"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</row>
    <row r="269" spans="2:80" x14ac:dyDescent="0.25"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</row>
    <row r="270" spans="2:80" x14ac:dyDescent="0.25"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</row>
    <row r="271" spans="2:80" x14ac:dyDescent="0.25"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</row>
    <row r="272" spans="2:80" x14ac:dyDescent="0.25"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</row>
    <row r="273" spans="2:80" x14ac:dyDescent="0.25"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</row>
    <row r="274" spans="2:80" x14ac:dyDescent="0.25"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</row>
    <row r="275" spans="2:80" x14ac:dyDescent="0.25"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</row>
    <row r="276" spans="2:80" x14ac:dyDescent="0.25"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</row>
    <row r="277" spans="2:80" x14ac:dyDescent="0.25"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</row>
    <row r="278" spans="2:80" x14ac:dyDescent="0.25"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</row>
    <row r="279" spans="2:80" x14ac:dyDescent="0.25"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</row>
    <row r="280" spans="2:80" x14ac:dyDescent="0.25"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</row>
    <row r="281" spans="2:80" x14ac:dyDescent="0.25"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</row>
    <row r="282" spans="2:80" x14ac:dyDescent="0.25"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</row>
    <row r="283" spans="2:80" x14ac:dyDescent="0.25"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</row>
    <row r="284" spans="2:80" x14ac:dyDescent="0.25"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</row>
    <row r="285" spans="2:80" x14ac:dyDescent="0.25"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</row>
    <row r="286" spans="2:80" x14ac:dyDescent="0.25"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</row>
    <row r="287" spans="2:80" x14ac:dyDescent="0.25"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</row>
    <row r="288" spans="2:80" x14ac:dyDescent="0.25"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</row>
    <row r="289" spans="2:80" x14ac:dyDescent="0.25"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</row>
    <row r="290" spans="2:80" x14ac:dyDescent="0.25"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</row>
    <row r="291" spans="2:80" x14ac:dyDescent="0.25"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</row>
    <row r="292" spans="2:80" x14ac:dyDescent="0.25"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</row>
    <row r="293" spans="2:80" x14ac:dyDescent="0.25"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</row>
    <row r="294" spans="2:80" x14ac:dyDescent="0.25"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</row>
    <row r="295" spans="2:80" x14ac:dyDescent="0.25"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</row>
    <row r="296" spans="2:80" x14ac:dyDescent="0.25"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</row>
    <row r="297" spans="2:80" x14ac:dyDescent="0.25"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</row>
    <row r="298" spans="2:80" x14ac:dyDescent="0.25"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</row>
    <row r="299" spans="2:80" x14ac:dyDescent="0.25"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</row>
    <row r="300" spans="2:80" x14ac:dyDescent="0.25"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</row>
    <row r="301" spans="2:80" x14ac:dyDescent="0.25"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</row>
    <row r="302" spans="2:80" x14ac:dyDescent="0.25"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</row>
    <row r="303" spans="2:80" x14ac:dyDescent="0.25"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</row>
    <row r="304" spans="2:80" x14ac:dyDescent="0.25"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</row>
    <row r="305" spans="2:80" x14ac:dyDescent="0.25"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</row>
    <row r="306" spans="2:80" x14ac:dyDescent="0.25"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</row>
    <row r="307" spans="2:80" x14ac:dyDescent="0.25"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</row>
    <row r="308" spans="2:80" x14ac:dyDescent="0.25"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</row>
    <row r="309" spans="2:80" x14ac:dyDescent="0.25"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</row>
    <row r="310" spans="2:80" x14ac:dyDescent="0.25"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</row>
    <row r="311" spans="2:80" x14ac:dyDescent="0.25"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</row>
    <row r="312" spans="2:80" x14ac:dyDescent="0.25"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</row>
    <row r="313" spans="2:80" x14ac:dyDescent="0.25"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</row>
    <row r="314" spans="2:80" x14ac:dyDescent="0.25"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</row>
    <row r="315" spans="2:80" x14ac:dyDescent="0.25"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</row>
    <row r="316" spans="2:80" x14ac:dyDescent="0.25"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</row>
    <row r="317" spans="2:80" x14ac:dyDescent="0.25"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</row>
    <row r="318" spans="2:80" x14ac:dyDescent="0.25"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</row>
    <row r="319" spans="2:80" x14ac:dyDescent="0.25"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</row>
    <row r="320" spans="2:80" x14ac:dyDescent="0.25"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</row>
    <row r="321" spans="2:80" x14ac:dyDescent="0.25"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</row>
    <row r="322" spans="2:80" x14ac:dyDescent="0.25"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</row>
    <row r="323" spans="2:80" x14ac:dyDescent="0.25"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</row>
    <row r="324" spans="2:80" x14ac:dyDescent="0.25"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</row>
    <row r="325" spans="2:80" x14ac:dyDescent="0.25"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</row>
    <row r="326" spans="2:80" x14ac:dyDescent="0.25"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</row>
    <row r="327" spans="2:80" x14ac:dyDescent="0.25"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</row>
    <row r="328" spans="2:80" x14ac:dyDescent="0.25"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</row>
    <row r="329" spans="2:80" x14ac:dyDescent="0.25"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</row>
  </sheetData>
  <mergeCells count="121">
    <mergeCell ref="J146:K146"/>
    <mergeCell ref="J140:K140"/>
    <mergeCell ref="J141:K141"/>
    <mergeCell ref="J142:K142"/>
    <mergeCell ref="J143:K143"/>
    <mergeCell ref="J144:K144"/>
    <mergeCell ref="J145:K145"/>
    <mergeCell ref="J134:K134"/>
    <mergeCell ref="J135:K135"/>
    <mergeCell ref="J136:K136"/>
    <mergeCell ref="J137:K137"/>
    <mergeCell ref="J138:K138"/>
    <mergeCell ref="J139:K139"/>
    <mergeCell ref="J128:K128"/>
    <mergeCell ref="J129:K129"/>
    <mergeCell ref="J130:K130"/>
    <mergeCell ref="J131:K131"/>
    <mergeCell ref="J132:K132"/>
    <mergeCell ref="J133:K133"/>
    <mergeCell ref="J122:K122"/>
    <mergeCell ref="J123:K123"/>
    <mergeCell ref="J124:K124"/>
    <mergeCell ref="J125:K125"/>
    <mergeCell ref="J126:K126"/>
    <mergeCell ref="J127:K127"/>
    <mergeCell ref="J114:K114"/>
    <mergeCell ref="J115:K115"/>
    <mergeCell ref="J116:K116"/>
    <mergeCell ref="J117:K117"/>
    <mergeCell ref="J118:K118"/>
    <mergeCell ref="J121:K121"/>
    <mergeCell ref="J109:K109"/>
    <mergeCell ref="J110:K110"/>
    <mergeCell ref="J111:K111"/>
    <mergeCell ref="J112:K112"/>
    <mergeCell ref="J113:K113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3:K103"/>
    <mergeCell ref="J90:K90"/>
    <mergeCell ref="J91:K91"/>
    <mergeCell ref="J92:K92"/>
    <mergeCell ref="J93:K93"/>
    <mergeCell ref="J95:K95"/>
    <mergeCell ref="J96:K96"/>
    <mergeCell ref="J83:K83"/>
    <mergeCell ref="J84:K84"/>
    <mergeCell ref="J86:K86"/>
    <mergeCell ref="J87:K87"/>
    <mergeCell ref="J88:K88"/>
    <mergeCell ref="J89:K89"/>
    <mergeCell ref="J85:K85"/>
    <mergeCell ref="J76:K76"/>
    <mergeCell ref="J77:K77"/>
    <mergeCell ref="J79:K79"/>
    <mergeCell ref="J80:K80"/>
    <mergeCell ref="J81:K81"/>
    <mergeCell ref="J82:K82"/>
    <mergeCell ref="J70:K70"/>
    <mergeCell ref="J71:K71"/>
    <mergeCell ref="J72:K72"/>
    <mergeCell ref="J73:K73"/>
    <mergeCell ref="J74:K74"/>
    <mergeCell ref="J75:K75"/>
    <mergeCell ref="J78:K78"/>
    <mergeCell ref="J63:K63"/>
    <mergeCell ref="J65:K65"/>
    <mergeCell ref="J66:K66"/>
    <mergeCell ref="J67:K67"/>
    <mergeCell ref="J68:K68"/>
    <mergeCell ref="J69:K69"/>
    <mergeCell ref="J58:K58"/>
    <mergeCell ref="J59:K59"/>
    <mergeCell ref="J60:K60"/>
    <mergeCell ref="J61:K61"/>
    <mergeCell ref="J62:K62"/>
    <mergeCell ref="J54:K54"/>
    <mergeCell ref="J55:K55"/>
    <mergeCell ref="J56:K56"/>
    <mergeCell ref="J57:K57"/>
    <mergeCell ref="J46:K46"/>
    <mergeCell ref="J47:K47"/>
    <mergeCell ref="J49:K49"/>
    <mergeCell ref="J50:K50"/>
    <mergeCell ref="J51:K51"/>
    <mergeCell ref="J41:K41"/>
    <mergeCell ref="J42:K42"/>
    <mergeCell ref="J44:K44"/>
    <mergeCell ref="J31:K31"/>
    <mergeCell ref="J32:K32"/>
    <mergeCell ref="J34:K34"/>
    <mergeCell ref="J52:K52"/>
    <mergeCell ref="J53:K53"/>
    <mergeCell ref="J25:K25"/>
    <mergeCell ref="J26:K26"/>
    <mergeCell ref="J27:K27"/>
    <mergeCell ref="J28:K28"/>
    <mergeCell ref="J30:K30"/>
    <mergeCell ref="J43:K43"/>
    <mergeCell ref="J33:K33"/>
    <mergeCell ref="J38:K38"/>
    <mergeCell ref="J21:K21"/>
    <mergeCell ref="J22:K22"/>
    <mergeCell ref="J23:K23"/>
    <mergeCell ref="J24:K24"/>
    <mergeCell ref="J13:K13"/>
    <mergeCell ref="J14:K14"/>
    <mergeCell ref="J18:K18"/>
    <mergeCell ref="J1:K1"/>
    <mergeCell ref="J3:K3"/>
    <mergeCell ref="J5:K5"/>
    <mergeCell ref="J6:K6"/>
    <mergeCell ref="J7:K7"/>
    <mergeCell ref="J4:K4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38"/>
  <sheetViews>
    <sheetView workbookViewId="0">
      <selection activeCell="T14" sqref="T14:T21"/>
    </sheetView>
  </sheetViews>
  <sheetFormatPr defaultRowHeight="15" x14ac:dyDescent="0.25"/>
  <cols>
    <col min="1" max="1" width="22.28515625" bestFit="1" customWidth="1"/>
    <col min="15" max="15" width="17.85546875" bestFit="1" customWidth="1"/>
  </cols>
  <sheetData>
    <row r="2" spans="1:20" x14ac:dyDescent="0.25">
      <c r="D2" s="61" t="s">
        <v>237</v>
      </c>
      <c r="E2" s="61"/>
      <c r="F2" s="61" t="s">
        <v>241</v>
      </c>
      <c r="G2" s="61"/>
      <c r="H2" s="61" t="s">
        <v>242</v>
      </c>
      <c r="I2" s="61"/>
    </row>
    <row r="3" spans="1:20" x14ac:dyDescent="0.25">
      <c r="A3" s="12" t="s">
        <v>227</v>
      </c>
      <c r="B3" s="13" t="s">
        <v>228</v>
      </c>
      <c r="C3" s="13" t="s">
        <v>229</v>
      </c>
      <c r="D3" s="13" t="s">
        <v>238</v>
      </c>
      <c r="E3" s="13" t="s">
        <v>239</v>
      </c>
      <c r="F3" s="13" t="s">
        <v>238</v>
      </c>
      <c r="G3" s="13" t="s">
        <v>239</v>
      </c>
      <c r="H3" s="13" t="s">
        <v>238</v>
      </c>
      <c r="I3" s="13" t="s">
        <v>239</v>
      </c>
    </row>
    <row r="4" spans="1:20" x14ac:dyDescent="0.25">
      <c r="A4" s="12" t="s">
        <v>230</v>
      </c>
      <c r="B4" s="10">
        <v>150</v>
      </c>
      <c r="C4" s="10">
        <f t="shared" ref="C4:C9" si="0">B4</f>
        <v>150</v>
      </c>
      <c r="D4" s="10">
        <v>200</v>
      </c>
      <c r="E4" s="10">
        <f>D4</f>
        <v>200</v>
      </c>
      <c r="F4" s="10">
        <v>200</v>
      </c>
      <c r="G4" s="10">
        <v>300</v>
      </c>
      <c r="H4" s="10">
        <f>F4</f>
        <v>200</v>
      </c>
      <c r="I4" s="10">
        <f>G4</f>
        <v>300</v>
      </c>
      <c r="J4" s="10"/>
      <c r="K4" s="10"/>
      <c r="L4" s="10"/>
      <c r="M4" s="10"/>
      <c r="N4" s="10"/>
      <c r="O4" s="10"/>
      <c r="P4" s="10"/>
      <c r="Q4" s="10"/>
    </row>
    <row r="5" spans="1:20" x14ac:dyDescent="0.25">
      <c r="A5" s="12" t="s">
        <v>231</v>
      </c>
      <c r="B5" s="10">
        <v>70</v>
      </c>
      <c r="C5" s="10">
        <f t="shared" si="0"/>
        <v>70</v>
      </c>
      <c r="D5" s="10">
        <v>70</v>
      </c>
      <c r="E5" s="10">
        <f>D5</f>
        <v>70</v>
      </c>
      <c r="F5" s="10">
        <v>85</v>
      </c>
      <c r="G5" s="10">
        <f>F5</f>
        <v>85</v>
      </c>
      <c r="H5" s="10">
        <f t="shared" ref="H5:H10" si="1">F5</f>
        <v>85</v>
      </c>
      <c r="I5" s="10">
        <f t="shared" ref="I5:I11" si="2">G5</f>
        <v>85</v>
      </c>
      <c r="J5" s="10"/>
      <c r="K5" s="10"/>
      <c r="L5" s="10"/>
      <c r="M5" s="10"/>
      <c r="N5" s="10"/>
      <c r="O5" s="10"/>
      <c r="P5" s="10"/>
      <c r="Q5" s="10"/>
    </row>
    <row r="6" spans="1:20" x14ac:dyDescent="0.25">
      <c r="A6" s="12" t="s">
        <v>232</v>
      </c>
      <c r="B6" s="10">
        <v>110</v>
      </c>
      <c r="C6" s="10">
        <f t="shared" si="0"/>
        <v>110</v>
      </c>
      <c r="D6" s="10">
        <v>120</v>
      </c>
      <c r="E6" s="10">
        <v>210</v>
      </c>
      <c r="F6" s="10">
        <v>180</v>
      </c>
      <c r="G6" s="10">
        <f>F6</f>
        <v>180</v>
      </c>
      <c r="H6" s="10">
        <f t="shared" si="1"/>
        <v>180</v>
      </c>
      <c r="I6" s="10">
        <f t="shared" si="2"/>
        <v>180</v>
      </c>
      <c r="J6" s="10"/>
      <c r="K6" s="10"/>
      <c r="L6" s="10"/>
      <c r="M6" s="10"/>
      <c r="N6" s="10"/>
      <c r="O6" s="10"/>
      <c r="P6" s="10"/>
      <c r="Q6" s="10"/>
    </row>
    <row r="7" spans="1:20" x14ac:dyDescent="0.25">
      <c r="A7" s="12" t="s">
        <v>240</v>
      </c>
      <c r="B7" s="10">
        <v>0</v>
      </c>
      <c r="C7" s="10">
        <f t="shared" si="0"/>
        <v>0</v>
      </c>
      <c r="D7" s="10">
        <v>0</v>
      </c>
      <c r="E7" s="10">
        <v>210</v>
      </c>
      <c r="F7" s="10">
        <v>0</v>
      </c>
      <c r="G7" s="10">
        <v>220</v>
      </c>
      <c r="H7" s="10">
        <f t="shared" si="1"/>
        <v>0</v>
      </c>
      <c r="I7" s="10">
        <f t="shared" si="2"/>
        <v>220</v>
      </c>
      <c r="J7" s="10"/>
      <c r="K7" s="10"/>
      <c r="L7" s="10"/>
      <c r="M7" s="10"/>
      <c r="N7" s="10"/>
      <c r="O7" s="10"/>
      <c r="P7" s="10"/>
      <c r="Q7" s="10"/>
    </row>
    <row r="8" spans="1:20" x14ac:dyDescent="0.25">
      <c r="A8" s="12" t="s">
        <v>233</v>
      </c>
      <c r="B8" s="10">
        <v>50</v>
      </c>
      <c r="C8" s="10">
        <f t="shared" si="0"/>
        <v>50</v>
      </c>
      <c r="D8" s="10">
        <v>50</v>
      </c>
      <c r="E8" s="10">
        <v>0</v>
      </c>
      <c r="F8" s="10">
        <v>50</v>
      </c>
      <c r="G8" s="10">
        <v>0</v>
      </c>
      <c r="H8" s="10">
        <f t="shared" si="1"/>
        <v>50</v>
      </c>
      <c r="I8" s="10">
        <f t="shared" si="2"/>
        <v>0</v>
      </c>
      <c r="J8" s="10"/>
      <c r="K8" s="10"/>
      <c r="L8" s="10"/>
      <c r="M8" s="10"/>
      <c r="N8" s="10"/>
      <c r="O8" s="10"/>
      <c r="P8" s="10"/>
      <c r="Q8" s="10"/>
    </row>
    <row r="9" spans="1:20" x14ac:dyDescent="0.25">
      <c r="A9" s="12" t="s">
        <v>234</v>
      </c>
      <c r="B9" s="10">
        <v>350</v>
      </c>
      <c r="C9" s="10">
        <f t="shared" si="0"/>
        <v>350</v>
      </c>
      <c r="D9" s="10">
        <v>460</v>
      </c>
      <c r="E9" s="10">
        <v>0</v>
      </c>
      <c r="F9" s="10">
        <v>540</v>
      </c>
      <c r="G9" s="10">
        <v>0</v>
      </c>
      <c r="H9" s="10">
        <f t="shared" si="1"/>
        <v>540</v>
      </c>
      <c r="I9" s="10">
        <f t="shared" si="2"/>
        <v>0</v>
      </c>
      <c r="J9" s="10"/>
      <c r="K9" s="10"/>
      <c r="L9" s="10"/>
      <c r="M9" s="10"/>
      <c r="N9" s="10"/>
      <c r="O9" s="10"/>
      <c r="P9" s="10"/>
      <c r="Q9" s="10"/>
    </row>
    <row r="10" spans="1:20" x14ac:dyDescent="0.25">
      <c r="A10" s="12" t="s">
        <v>236</v>
      </c>
      <c r="B10" s="10">
        <v>367</v>
      </c>
      <c r="C10" s="10">
        <v>387</v>
      </c>
      <c r="D10" s="10">
        <v>385</v>
      </c>
      <c r="E10" s="10">
        <f>D10</f>
        <v>385</v>
      </c>
      <c r="F10" s="10">
        <v>587</v>
      </c>
      <c r="G10" s="10">
        <f>F10</f>
        <v>587</v>
      </c>
      <c r="H10" s="10">
        <f t="shared" si="1"/>
        <v>587</v>
      </c>
      <c r="I10" s="10">
        <f t="shared" si="2"/>
        <v>587</v>
      </c>
      <c r="J10" s="10"/>
      <c r="K10" s="10"/>
      <c r="L10" s="10"/>
      <c r="M10" s="10"/>
      <c r="N10" s="10">
        <f>10%*1893</f>
        <v>189.3</v>
      </c>
      <c r="O10" s="10"/>
      <c r="P10" s="10"/>
      <c r="Q10" s="10"/>
    </row>
    <row r="11" spans="1:20" x14ac:dyDescent="0.25">
      <c r="A11" s="12" t="s">
        <v>235</v>
      </c>
      <c r="B11" s="10">
        <v>338</v>
      </c>
      <c r="C11" s="10">
        <v>342</v>
      </c>
      <c r="D11" s="10">
        <v>346</v>
      </c>
      <c r="E11" s="10">
        <f>D11</f>
        <v>346</v>
      </c>
      <c r="F11" s="10">
        <v>366</v>
      </c>
      <c r="G11" s="10">
        <f>F11</f>
        <v>366</v>
      </c>
      <c r="H11" s="10">
        <v>360</v>
      </c>
      <c r="I11" s="10">
        <f t="shared" si="2"/>
        <v>366</v>
      </c>
      <c r="J11" s="10"/>
      <c r="K11" s="10"/>
      <c r="L11" s="10"/>
      <c r="M11" s="10"/>
      <c r="N11" s="10">
        <f>1%*1893</f>
        <v>18.93</v>
      </c>
      <c r="O11" s="10"/>
      <c r="P11" s="10"/>
      <c r="Q11" s="10"/>
    </row>
    <row r="12" spans="1:20" x14ac:dyDescent="0.25">
      <c r="A12" s="12" t="s">
        <v>243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>
        <f>19*2</f>
        <v>38</v>
      </c>
      <c r="O12" s="10"/>
      <c r="P12" s="10"/>
      <c r="Q12" s="10"/>
    </row>
    <row r="13" spans="1:20" x14ac:dyDescent="0.25">
      <c r="A13" s="12" t="s">
        <v>244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>
        <f>1893+38</f>
        <v>1931</v>
      </c>
      <c r="O13" s="10"/>
      <c r="P13" s="10"/>
      <c r="Q13" s="10"/>
    </row>
    <row r="14" spans="1:20" x14ac:dyDescent="0.25">
      <c r="A14" s="12" t="s">
        <v>245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>
        <f>1950-1931</f>
        <v>19</v>
      </c>
      <c r="O14" s="10"/>
      <c r="P14" s="10"/>
      <c r="Q14" s="10"/>
      <c r="T14">
        <v>350</v>
      </c>
    </row>
    <row r="15" spans="1:20" x14ac:dyDescent="0.25">
      <c r="A15" s="12" t="s">
        <v>246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T15">
        <v>80</v>
      </c>
    </row>
    <row r="16" spans="1:20" x14ac:dyDescent="0.25">
      <c r="A16" s="12" t="s">
        <v>247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T16">
        <v>150</v>
      </c>
    </row>
    <row r="17" spans="1:20" x14ac:dyDescent="0.25">
      <c r="A17" s="12" t="s">
        <v>248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T17">
        <v>50</v>
      </c>
    </row>
    <row r="18" spans="1:20" x14ac:dyDescent="0.25">
      <c r="A18" s="12" t="s">
        <v>249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T18">
        <v>650</v>
      </c>
    </row>
    <row r="19" spans="1:20" x14ac:dyDescent="0.25">
      <c r="A19" s="12" t="s">
        <v>250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20" x14ac:dyDescent="0.25">
      <c r="A20" s="12" t="s">
        <v>251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20" x14ac:dyDescent="0.25">
      <c r="A21" s="12" t="s">
        <v>204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20" x14ac:dyDescent="0.25">
      <c r="A22" s="12" t="s">
        <v>252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20" x14ac:dyDescent="0.25">
      <c r="A23" s="12" t="s">
        <v>253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1:20" x14ac:dyDescent="0.25">
      <c r="A24" s="12" t="s">
        <v>254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20" x14ac:dyDescent="0.25">
      <c r="A25" s="12" t="s">
        <v>255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20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20" x14ac:dyDescent="0.2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spans="1:20" x14ac:dyDescent="0.2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6"/>
      <c r="P28" s="16"/>
      <c r="Q28" s="10"/>
    </row>
    <row r="29" spans="1:20" x14ac:dyDescent="0.2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20" x14ac:dyDescent="0.2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20" x14ac:dyDescent="0.2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spans="1:20" x14ac:dyDescent="0.25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2:17" x14ac:dyDescent="0.2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2:17" x14ac:dyDescent="0.25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2:17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10">
        <f>625-335.5</f>
        <v>289.5</v>
      </c>
      <c r="L35" s="10"/>
      <c r="M35" s="10"/>
      <c r="N35" s="10"/>
      <c r="O35" s="10"/>
      <c r="P35" s="11"/>
      <c r="Q35" s="10"/>
    </row>
    <row r="36" spans="2:17" x14ac:dyDescent="0.25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2:17" x14ac:dyDescent="0.25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2:17" x14ac:dyDescent="0.25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</sheetData>
  <mergeCells count="3">
    <mergeCell ref="D2:E2"/>
    <mergeCell ref="F2:G2"/>
    <mergeCell ref="H2:I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L14:T68"/>
  <sheetViews>
    <sheetView topLeftCell="A16" workbookViewId="0">
      <selection activeCell="D28" sqref="D28"/>
    </sheetView>
  </sheetViews>
  <sheetFormatPr defaultRowHeight="15" x14ac:dyDescent="0.25"/>
  <sheetData>
    <row r="14" spans="12:15" x14ac:dyDescent="0.25">
      <c r="O14">
        <f>2240-1440</f>
        <v>800</v>
      </c>
    </row>
    <row r="15" spans="12:15" x14ac:dyDescent="0.25">
      <c r="L15">
        <v>1220</v>
      </c>
    </row>
    <row r="16" spans="12:15" x14ac:dyDescent="0.25">
      <c r="L16">
        <v>580</v>
      </c>
    </row>
    <row r="17" spans="12:20" x14ac:dyDescent="0.25">
      <c r="L17">
        <v>300</v>
      </c>
    </row>
    <row r="18" spans="12:20" x14ac:dyDescent="0.25">
      <c r="L18">
        <v>5200</v>
      </c>
    </row>
    <row r="19" spans="12:20" x14ac:dyDescent="0.25">
      <c r="L19">
        <v>650</v>
      </c>
    </row>
    <row r="20" spans="12:20" x14ac:dyDescent="0.25">
      <c r="L20">
        <v>500</v>
      </c>
      <c r="M20">
        <v>1400</v>
      </c>
    </row>
    <row r="21" spans="12:20" x14ac:dyDescent="0.25">
      <c r="L21">
        <v>-2400</v>
      </c>
      <c r="M21">
        <v>680</v>
      </c>
    </row>
    <row r="22" spans="12:20" x14ac:dyDescent="0.25">
      <c r="M22">
        <v>760</v>
      </c>
    </row>
    <row r="23" spans="12:20" x14ac:dyDescent="0.25">
      <c r="M23">
        <v>420</v>
      </c>
      <c r="T23">
        <v>200</v>
      </c>
    </row>
    <row r="24" spans="12:20" x14ac:dyDescent="0.25">
      <c r="M24">
        <v>380</v>
      </c>
      <c r="T24">
        <v>80</v>
      </c>
    </row>
    <row r="25" spans="12:20" x14ac:dyDescent="0.25">
      <c r="M25">
        <v>260</v>
      </c>
      <c r="T25">
        <v>140</v>
      </c>
    </row>
    <row r="26" spans="12:20" x14ac:dyDescent="0.25">
      <c r="P26">
        <f>200*13</f>
        <v>2600</v>
      </c>
      <c r="T26">
        <v>220</v>
      </c>
    </row>
    <row r="27" spans="12:20" x14ac:dyDescent="0.25">
      <c r="P27">
        <f>12*50</f>
        <v>600</v>
      </c>
      <c r="T27">
        <v>380</v>
      </c>
    </row>
    <row r="28" spans="12:20" x14ac:dyDescent="0.25">
      <c r="P28">
        <v>8500</v>
      </c>
      <c r="T28">
        <v>350</v>
      </c>
    </row>
    <row r="29" spans="12:20" x14ac:dyDescent="0.25">
      <c r="P29">
        <v>1520</v>
      </c>
      <c r="T29">
        <v>200</v>
      </c>
    </row>
    <row r="40" spans="16:16" x14ac:dyDescent="0.25">
      <c r="P40">
        <f>SUM(P26:P39)</f>
        <v>13220</v>
      </c>
    </row>
    <row r="52" spans="13:13" x14ac:dyDescent="0.25">
      <c r="M52">
        <v>680</v>
      </c>
    </row>
    <row r="53" spans="13:13" x14ac:dyDescent="0.25">
      <c r="M53">
        <v>1510</v>
      </c>
    </row>
    <row r="54" spans="13:13" x14ac:dyDescent="0.25">
      <c r="M54">
        <v>320</v>
      </c>
    </row>
    <row r="55" spans="13:13" x14ac:dyDescent="0.25">
      <c r="M55">
        <v>320</v>
      </c>
    </row>
    <row r="56" spans="13:13" x14ac:dyDescent="0.25">
      <c r="M56">
        <v>250</v>
      </c>
    </row>
    <row r="57" spans="13:13" x14ac:dyDescent="0.25">
      <c r="M57">
        <v>200</v>
      </c>
    </row>
    <row r="58" spans="13:13" x14ac:dyDescent="0.25">
      <c r="M58">
        <v>780</v>
      </c>
    </row>
    <row r="59" spans="13:13" x14ac:dyDescent="0.25">
      <c r="M59">
        <v>500</v>
      </c>
    </row>
    <row r="68" spans="13:13" x14ac:dyDescent="0.25">
      <c r="M68">
        <f>SUM(M52:M67)</f>
        <v>4560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Q46"/>
  <sheetViews>
    <sheetView topLeftCell="A10" workbookViewId="0">
      <selection activeCell="H37" sqref="H37"/>
    </sheetView>
  </sheetViews>
  <sheetFormatPr defaultRowHeight="15" x14ac:dyDescent="0.25"/>
  <cols>
    <col min="1" max="1" width="22.28515625" bestFit="1" customWidth="1"/>
    <col min="15" max="15" width="17.85546875" bestFit="1" customWidth="1"/>
  </cols>
  <sheetData>
    <row r="6" spans="1:17" x14ac:dyDescent="0.25">
      <c r="C6" s="12"/>
      <c r="D6" s="12"/>
      <c r="E6" s="12"/>
      <c r="F6" s="12"/>
      <c r="G6" s="12"/>
      <c r="H6" s="12"/>
      <c r="I6" s="12"/>
      <c r="Q6">
        <v>200</v>
      </c>
    </row>
    <row r="7" spans="1:17" ht="15.75" thickBot="1" x14ac:dyDescent="0.3">
      <c r="C7" s="13"/>
      <c r="D7" s="13"/>
      <c r="E7" s="13"/>
      <c r="F7" s="13"/>
      <c r="G7" s="13"/>
      <c r="H7" s="13"/>
      <c r="I7" s="13"/>
      <c r="Q7">
        <v>80</v>
      </c>
    </row>
    <row r="8" spans="1:17" ht="15.75" thickBot="1" x14ac:dyDescent="0.3">
      <c r="B8" s="62" t="s">
        <v>259</v>
      </c>
      <c r="C8" s="63"/>
      <c r="D8" s="63"/>
      <c r="E8" s="63"/>
      <c r="F8" s="63"/>
      <c r="G8" s="63"/>
      <c r="H8" s="63"/>
      <c r="I8" s="64"/>
      <c r="Q8">
        <v>140</v>
      </c>
    </row>
    <row r="9" spans="1:17" x14ac:dyDescent="0.25">
      <c r="M9">
        <f>16*20</f>
        <v>320</v>
      </c>
      <c r="Q9">
        <v>220</v>
      </c>
    </row>
    <row r="10" spans="1:17" x14ac:dyDescent="0.25">
      <c r="D10" s="61" t="s">
        <v>237</v>
      </c>
      <c r="E10" s="61"/>
      <c r="F10" s="61" t="s">
        <v>241</v>
      </c>
      <c r="G10" s="61"/>
      <c r="H10" s="61" t="s">
        <v>242</v>
      </c>
      <c r="I10" s="61"/>
      <c r="M10">
        <v>450</v>
      </c>
      <c r="Q10">
        <v>100</v>
      </c>
    </row>
    <row r="11" spans="1:17" x14ac:dyDescent="0.25">
      <c r="A11" s="12" t="s">
        <v>227</v>
      </c>
      <c r="B11" s="13" t="s">
        <v>228</v>
      </c>
      <c r="C11" s="13" t="s">
        <v>229</v>
      </c>
      <c r="D11" s="13" t="s">
        <v>238</v>
      </c>
      <c r="E11" s="13" t="s">
        <v>239</v>
      </c>
      <c r="F11" s="13" t="s">
        <v>238</v>
      </c>
      <c r="G11" s="13" t="s">
        <v>239</v>
      </c>
      <c r="H11" s="13" t="s">
        <v>238</v>
      </c>
      <c r="I11" s="13" t="s">
        <v>239</v>
      </c>
      <c r="M11">
        <v>10</v>
      </c>
    </row>
    <row r="12" spans="1:17" x14ac:dyDescent="0.25">
      <c r="A12" t="s">
        <v>230</v>
      </c>
      <c r="B12" s="10">
        <v>200</v>
      </c>
      <c r="C12" s="10">
        <f t="shared" ref="C12:C17" si="0">B12</f>
        <v>200</v>
      </c>
      <c r="D12" s="10">
        <v>200</v>
      </c>
      <c r="E12" s="10">
        <f>D12</f>
        <v>200</v>
      </c>
      <c r="F12" s="10">
        <v>300</v>
      </c>
      <c r="G12" s="10">
        <v>300</v>
      </c>
      <c r="H12" s="10">
        <f>F12</f>
        <v>300</v>
      </c>
      <c r="I12" s="10">
        <f>G12</f>
        <v>300</v>
      </c>
      <c r="J12" s="10"/>
      <c r="K12" s="10"/>
      <c r="L12" s="10"/>
      <c r="M12" s="10"/>
      <c r="N12" s="10"/>
      <c r="O12" s="10"/>
      <c r="P12" s="10"/>
      <c r="Q12" s="10"/>
    </row>
    <row r="13" spans="1:17" x14ac:dyDescent="0.25">
      <c r="A13" t="s">
        <v>231</v>
      </c>
      <c r="B13" s="10">
        <v>70</v>
      </c>
      <c r="C13" s="10">
        <f t="shared" si="0"/>
        <v>70</v>
      </c>
      <c r="D13" s="10">
        <v>70</v>
      </c>
      <c r="E13" s="10">
        <f>D13</f>
        <v>70</v>
      </c>
      <c r="F13" s="10">
        <v>85</v>
      </c>
      <c r="G13" s="10">
        <f>F13</f>
        <v>85</v>
      </c>
      <c r="H13" s="10">
        <f t="shared" ref="H13:I20" si="1">F13</f>
        <v>85</v>
      </c>
      <c r="I13" s="10">
        <f t="shared" si="1"/>
        <v>85</v>
      </c>
      <c r="J13" s="10"/>
      <c r="K13" s="10"/>
      <c r="L13" s="10"/>
      <c r="M13" s="10"/>
      <c r="N13" s="10"/>
      <c r="O13" s="10"/>
      <c r="P13" s="10"/>
      <c r="Q13" s="10"/>
    </row>
    <row r="14" spans="1:17" x14ac:dyDescent="0.25">
      <c r="A14" t="s">
        <v>232</v>
      </c>
      <c r="B14" s="10">
        <v>110</v>
      </c>
      <c r="C14" s="10">
        <f t="shared" si="0"/>
        <v>110</v>
      </c>
      <c r="D14" s="10">
        <v>120</v>
      </c>
      <c r="E14" s="10">
        <v>210</v>
      </c>
      <c r="F14" s="10">
        <v>180</v>
      </c>
      <c r="G14" s="10">
        <f>F14</f>
        <v>180</v>
      </c>
      <c r="H14" s="10">
        <f t="shared" si="1"/>
        <v>180</v>
      </c>
      <c r="I14" s="10">
        <f t="shared" si="1"/>
        <v>180</v>
      </c>
      <c r="J14" s="10"/>
      <c r="K14" s="10"/>
      <c r="L14" s="10"/>
      <c r="M14" s="10">
        <f>SUM(M9:M13)</f>
        <v>780</v>
      </c>
      <c r="N14" s="10"/>
      <c r="O14" s="10"/>
      <c r="P14" s="10"/>
      <c r="Q14" s="10"/>
    </row>
    <row r="15" spans="1:17" x14ac:dyDescent="0.25">
      <c r="A15" t="s">
        <v>240</v>
      </c>
      <c r="B15" s="10">
        <v>0</v>
      </c>
      <c r="C15" s="10">
        <f t="shared" si="0"/>
        <v>0</v>
      </c>
      <c r="D15" s="10">
        <v>0</v>
      </c>
      <c r="E15" s="10">
        <v>210</v>
      </c>
      <c r="F15" s="10">
        <v>0</v>
      </c>
      <c r="G15" s="10">
        <v>220</v>
      </c>
      <c r="H15" s="10">
        <f t="shared" si="1"/>
        <v>0</v>
      </c>
      <c r="I15" s="10">
        <f t="shared" si="1"/>
        <v>220</v>
      </c>
      <c r="J15" s="10"/>
      <c r="K15" s="10"/>
      <c r="L15" s="10"/>
      <c r="M15" s="10"/>
      <c r="N15" s="10"/>
      <c r="O15" s="10"/>
      <c r="P15" s="10"/>
      <c r="Q15" s="10"/>
    </row>
    <row r="16" spans="1:17" x14ac:dyDescent="0.25">
      <c r="A16" t="s">
        <v>233</v>
      </c>
      <c r="B16" s="10">
        <v>50</v>
      </c>
      <c r="C16" s="10">
        <f t="shared" si="0"/>
        <v>50</v>
      </c>
      <c r="D16" s="10">
        <v>50</v>
      </c>
      <c r="E16" s="10">
        <v>0</v>
      </c>
      <c r="F16" s="10">
        <v>50</v>
      </c>
      <c r="G16" s="10">
        <v>0</v>
      </c>
      <c r="H16" s="10">
        <f t="shared" si="1"/>
        <v>50</v>
      </c>
      <c r="I16" s="10">
        <f t="shared" si="1"/>
        <v>0</v>
      </c>
      <c r="J16" s="10"/>
      <c r="K16" s="10"/>
      <c r="L16" s="10"/>
      <c r="M16" s="10"/>
      <c r="N16" s="10"/>
      <c r="O16" s="10"/>
      <c r="P16" s="10"/>
      <c r="Q16" s="10"/>
    </row>
    <row r="17" spans="1:17" x14ac:dyDescent="0.25">
      <c r="A17" t="s">
        <v>234</v>
      </c>
      <c r="B17" s="10">
        <v>350</v>
      </c>
      <c r="C17" s="10">
        <f t="shared" si="0"/>
        <v>350</v>
      </c>
      <c r="D17" s="10">
        <v>460</v>
      </c>
      <c r="E17" s="10">
        <v>0</v>
      </c>
      <c r="F17" s="10">
        <v>540</v>
      </c>
      <c r="G17" s="10">
        <v>0</v>
      </c>
      <c r="H17" s="10">
        <f t="shared" si="1"/>
        <v>540</v>
      </c>
      <c r="I17" s="10">
        <f t="shared" si="1"/>
        <v>0</v>
      </c>
      <c r="J17" s="10"/>
      <c r="K17" s="10"/>
      <c r="L17" s="10"/>
      <c r="M17" s="10"/>
      <c r="N17" s="10"/>
      <c r="O17" s="10"/>
      <c r="P17" s="10"/>
      <c r="Q17" s="10">
        <v>200</v>
      </c>
    </row>
    <row r="18" spans="1:17" x14ac:dyDescent="0.25">
      <c r="A18" t="s">
        <v>236</v>
      </c>
      <c r="B18" s="10">
        <v>367</v>
      </c>
      <c r="C18" s="10">
        <v>387</v>
      </c>
      <c r="D18" s="10">
        <v>385</v>
      </c>
      <c r="E18" s="10">
        <f>D18</f>
        <v>385</v>
      </c>
      <c r="F18" s="10">
        <v>587</v>
      </c>
      <c r="G18" s="10">
        <f>F18</f>
        <v>587</v>
      </c>
      <c r="H18" s="10">
        <f t="shared" si="1"/>
        <v>587</v>
      </c>
      <c r="I18" s="10">
        <f t="shared" si="1"/>
        <v>587</v>
      </c>
      <c r="J18" s="10"/>
      <c r="K18" s="10"/>
      <c r="L18" s="10"/>
      <c r="M18" s="10"/>
      <c r="N18" s="10"/>
      <c r="O18" s="10"/>
      <c r="P18" s="10"/>
      <c r="Q18" s="10">
        <v>120</v>
      </c>
    </row>
    <row r="19" spans="1:17" x14ac:dyDescent="0.25">
      <c r="A19" t="s">
        <v>235</v>
      </c>
      <c r="B19" s="10">
        <v>338</v>
      </c>
      <c r="C19" s="10">
        <v>342</v>
      </c>
      <c r="D19" s="10">
        <v>346</v>
      </c>
      <c r="E19" s="10">
        <f>D19</f>
        <v>346</v>
      </c>
      <c r="F19" s="10">
        <v>366</v>
      </c>
      <c r="G19" s="10">
        <f>F19</f>
        <v>366</v>
      </c>
      <c r="H19" s="10">
        <f t="shared" si="1"/>
        <v>366</v>
      </c>
      <c r="I19" s="10">
        <f t="shared" si="1"/>
        <v>366</v>
      </c>
      <c r="J19" s="10"/>
      <c r="K19" s="10"/>
      <c r="L19" s="10"/>
      <c r="M19" s="10"/>
      <c r="N19" s="10"/>
      <c r="O19" s="10"/>
      <c r="P19" s="10"/>
      <c r="Q19" s="10">
        <v>70</v>
      </c>
    </row>
    <row r="20" spans="1:17" x14ac:dyDescent="0.25">
      <c r="A20" t="s">
        <v>243</v>
      </c>
      <c r="B20" s="10">
        <f>'Main Pricing'!B3</f>
        <v>2850</v>
      </c>
      <c r="C20" s="10">
        <f>'Main Pricing'!B5</f>
        <v>2350</v>
      </c>
      <c r="D20" s="10">
        <f>'Main Pricing'!B15</f>
        <v>2260</v>
      </c>
      <c r="E20" s="10">
        <f>D20</f>
        <v>2260</v>
      </c>
      <c r="F20" s="10">
        <f>'Main Pricing'!B9</f>
        <v>4800</v>
      </c>
      <c r="G20" s="10">
        <f>F20</f>
        <v>4800</v>
      </c>
      <c r="H20" s="10">
        <f>F20</f>
        <v>4800</v>
      </c>
      <c r="I20" s="10">
        <f t="shared" si="1"/>
        <v>4800</v>
      </c>
      <c r="J20" s="10"/>
      <c r="K20" s="10"/>
      <c r="L20" s="10"/>
      <c r="M20" s="10"/>
      <c r="N20" s="10"/>
      <c r="O20" s="10"/>
      <c r="P20" s="10"/>
      <c r="Q20" s="10">
        <v>50</v>
      </c>
    </row>
    <row r="21" spans="1:17" x14ac:dyDescent="0.25">
      <c r="A21" t="s">
        <v>244</v>
      </c>
      <c r="B21" s="10">
        <f>'Main Pricing'!C3</f>
        <v>1820</v>
      </c>
      <c r="C21" s="10">
        <f>'Main Pricing'!C5</f>
        <v>1820</v>
      </c>
      <c r="D21" s="10">
        <f>'Main Pricing'!C15</f>
        <v>2140</v>
      </c>
      <c r="E21" s="10">
        <f t="shared" ref="E21:E28" si="2">D21</f>
        <v>2140</v>
      </c>
      <c r="F21" s="10">
        <f>'Main Pricing'!C9</f>
        <v>2850</v>
      </c>
      <c r="G21" s="10">
        <f t="shared" ref="G21:G28" si="3">F21</f>
        <v>2850</v>
      </c>
      <c r="H21" s="10">
        <f t="shared" ref="H21:H28" si="4">F21</f>
        <v>2850</v>
      </c>
      <c r="I21" s="10">
        <f>H21</f>
        <v>2850</v>
      </c>
      <c r="J21" s="10"/>
      <c r="K21" s="10"/>
      <c r="L21" s="10"/>
      <c r="M21" s="10">
        <v>200</v>
      </c>
      <c r="N21" s="10"/>
      <c r="O21" s="10"/>
      <c r="P21" s="10"/>
      <c r="Q21" s="10">
        <v>350</v>
      </c>
    </row>
    <row r="22" spans="1:17" x14ac:dyDescent="0.25">
      <c r="A22" t="s">
        <v>245</v>
      </c>
      <c r="B22" s="10">
        <v>340</v>
      </c>
      <c r="C22" s="10">
        <v>360</v>
      </c>
      <c r="D22" s="10">
        <v>365</v>
      </c>
      <c r="E22" s="10">
        <f t="shared" si="2"/>
        <v>365</v>
      </c>
      <c r="F22" s="10">
        <v>980</v>
      </c>
      <c r="G22" s="10">
        <f t="shared" si="3"/>
        <v>980</v>
      </c>
      <c r="H22" s="10">
        <f t="shared" si="4"/>
        <v>980</v>
      </c>
      <c r="I22" s="10">
        <f t="shared" ref="I22:I28" si="5">H22</f>
        <v>980</v>
      </c>
      <c r="J22" s="10"/>
      <c r="K22" s="10"/>
      <c r="L22" s="10"/>
      <c r="M22" s="10">
        <v>70</v>
      </c>
      <c r="N22" s="10"/>
      <c r="O22" s="10"/>
      <c r="P22" s="10"/>
      <c r="Q22" s="10">
        <v>100</v>
      </c>
    </row>
    <row r="23" spans="1:17" x14ac:dyDescent="0.25">
      <c r="A23" t="s">
        <v>246</v>
      </c>
      <c r="B23" s="10">
        <v>420</v>
      </c>
      <c r="C23" s="10">
        <v>450</v>
      </c>
      <c r="D23" s="10">
        <v>510</v>
      </c>
      <c r="E23" s="10">
        <f t="shared" si="2"/>
        <v>510</v>
      </c>
      <c r="F23" s="10">
        <v>760</v>
      </c>
      <c r="G23" s="10">
        <f t="shared" si="3"/>
        <v>760</v>
      </c>
      <c r="H23" s="10">
        <f t="shared" si="4"/>
        <v>760</v>
      </c>
      <c r="I23" s="10">
        <f t="shared" si="5"/>
        <v>760</v>
      </c>
      <c r="J23" s="10"/>
      <c r="K23" s="10"/>
      <c r="L23" s="10"/>
      <c r="M23" s="10">
        <v>110</v>
      </c>
      <c r="N23" s="10"/>
      <c r="O23" s="10"/>
      <c r="P23" s="10"/>
      <c r="Q23" s="10">
        <f>SUM(Q17:Q22)</f>
        <v>890</v>
      </c>
    </row>
    <row r="24" spans="1:17" x14ac:dyDescent="0.25">
      <c r="A24" t="s">
        <v>247</v>
      </c>
      <c r="B24" s="10">
        <f>'Main Pricing'!O3</f>
        <v>480</v>
      </c>
      <c r="C24" s="10">
        <v>480</v>
      </c>
      <c r="D24" s="10">
        <v>485</v>
      </c>
      <c r="E24" s="10">
        <f t="shared" si="2"/>
        <v>485</v>
      </c>
      <c r="F24" s="10">
        <f>'Main Pricing'!O9</f>
        <v>540</v>
      </c>
      <c r="G24" s="10">
        <f t="shared" si="3"/>
        <v>540</v>
      </c>
      <c r="H24" s="10">
        <f t="shared" si="4"/>
        <v>540</v>
      </c>
      <c r="I24" s="10">
        <f t="shared" si="5"/>
        <v>540</v>
      </c>
      <c r="J24" s="10"/>
      <c r="K24" s="10">
        <v>350</v>
      </c>
      <c r="L24" s="10"/>
      <c r="M24" s="10">
        <v>50</v>
      </c>
      <c r="N24" s="10"/>
      <c r="O24" s="10"/>
      <c r="P24" s="10"/>
      <c r="Q24" s="10"/>
    </row>
    <row r="25" spans="1:17" x14ac:dyDescent="0.25">
      <c r="A25" t="s">
        <v>248</v>
      </c>
      <c r="B25" s="10">
        <f>'Main Pricing'!T3</f>
        <v>520</v>
      </c>
      <c r="C25" s="10">
        <v>350</v>
      </c>
      <c r="D25" s="10">
        <v>390</v>
      </c>
      <c r="E25" s="10">
        <f t="shared" si="2"/>
        <v>390</v>
      </c>
      <c r="F25" s="10">
        <f>'Main Pricing'!T9</f>
        <v>640</v>
      </c>
      <c r="G25" s="10">
        <f t="shared" si="3"/>
        <v>640</v>
      </c>
      <c r="H25" s="10">
        <f t="shared" si="4"/>
        <v>640</v>
      </c>
      <c r="I25" s="10">
        <f t="shared" si="5"/>
        <v>640</v>
      </c>
      <c r="J25" s="10"/>
      <c r="K25" s="10">
        <v>320</v>
      </c>
      <c r="L25" s="10"/>
      <c r="M25" s="10">
        <v>100</v>
      </c>
      <c r="N25" s="10"/>
      <c r="O25" s="10"/>
      <c r="P25" s="10"/>
      <c r="Q25" s="10"/>
    </row>
    <row r="26" spans="1:17" x14ac:dyDescent="0.25">
      <c r="A26" t="s">
        <v>251</v>
      </c>
      <c r="B26" s="10">
        <v>320</v>
      </c>
      <c r="C26" s="10">
        <v>350</v>
      </c>
      <c r="D26" s="10">
        <v>405</v>
      </c>
      <c r="E26" s="10">
        <f t="shared" si="2"/>
        <v>405</v>
      </c>
      <c r="F26" s="10">
        <f>'Main Pricing'!N9</f>
        <v>750</v>
      </c>
      <c r="G26" s="10">
        <f t="shared" si="3"/>
        <v>750</v>
      </c>
      <c r="H26" s="10">
        <f t="shared" si="4"/>
        <v>750</v>
      </c>
      <c r="I26" s="10">
        <f t="shared" si="5"/>
        <v>750</v>
      </c>
      <c r="J26" s="10"/>
      <c r="K26" s="10">
        <v>200</v>
      </c>
      <c r="L26" s="10"/>
      <c r="M26" s="10"/>
      <c r="N26" s="10"/>
      <c r="O26" s="10">
        <v>300</v>
      </c>
      <c r="P26" s="10"/>
      <c r="Q26" s="10"/>
    </row>
    <row r="27" spans="1:17" x14ac:dyDescent="0.25">
      <c r="A27" t="s">
        <v>252</v>
      </c>
      <c r="B27" s="10">
        <v>280</v>
      </c>
      <c r="C27" s="10">
        <v>280</v>
      </c>
      <c r="D27" s="10">
        <v>280</v>
      </c>
      <c r="E27" s="10">
        <f t="shared" si="2"/>
        <v>280</v>
      </c>
      <c r="F27" s="10">
        <f>'Main Pricing'!R9</f>
        <v>480</v>
      </c>
      <c r="G27" s="10">
        <f t="shared" si="3"/>
        <v>480</v>
      </c>
      <c r="H27" s="10">
        <f t="shared" si="4"/>
        <v>480</v>
      </c>
      <c r="I27" s="10">
        <f t="shared" si="5"/>
        <v>480</v>
      </c>
      <c r="J27" s="10"/>
      <c r="K27" s="10">
        <v>250</v>
      </c>
      <c r="L27" s="10"/>
      <c r="M27" s="10"/>
      <c r="N27" s="10"/>
      <c r="O27" s="10">
        <v>85</v>
      </c>
      <c r="P27" s="10"/>
      <c r="Q27" s="10"/>
    </row>
    <row r="28" spans="1:17" x14ac:dyDescent="0.25">
      <c r="A28" t="s">
        <v>253</v>
      </c>
      <c r="B28" s="10">
        <v>210</v>
      </c>
      <c r="C28" s="10">
        <v>210</v>
      </c>
      <c r="D28" s="10">
        <v>220</v>
      </c>
      <c r="E28" s="10">
        <f t="shared" si="2"/>
        <v>220</v>
      </c>
      <c r="F28" s="10">
        <v>220</v>
      </c>
      <c r="G28" s="10">
        <f t="shared" si="3"/>
        <v>220</v>
      </c>
      <c r="H28" s="10">
        <f t="shared" si="4"/>
        <v>220</v>
      </c>
      <c r="I28" s="10">
        <f t="shared" si="5"/>
        <v>220</v>
      </c>
      <c r="J28" s="10"/>
      <c r="K28" s="10">
        <v>150</v>
      </c>
      <c r="L28" s="10"/>
      <c r="M28" s="10"/>
      <c r="N28" s="10"/>
      <c r="O28" s="10">
        <v>180</v>
      </c>
      <c r="P28" s="10"/>
      <c r="Q28" s="10"/>
    </row>
    <row r="29" spans="1:17" x14ac:dyDescent="0.25">
      <c r="B29" s="10"/>
      <c r="C29" s="10"/>
      <c r="D29" s="10"/>
      <c r="E29" s="10"/>
      <c r="F29" s="10"/>
      <c r="G29" s="10"/>
      <c r="H29" s="10"/>
      <c r="I29" s="10"/>
      <c r="J29" s="10"/>
      <c r="K29" s="10">
        <v>480</v>
      </c>
      <c r="L29" s="10"/>
      <c r="M29" s="10"/>
      <c r="N29" s="10"/>
      <c r="O29" s="10">
        <v>50</v>
      </c>
      <c r="P29" s="10"/>
      <c r="Q29" s="10"/>
    </row>
    <row r="30" spans="1:17" x14ac:dyDescent="0.25">
      <c r="B30" s="10"/>
      <c r="C30" s="10"/>
      <c r="D30" s="10"/>
      <c r="E30" s="10"/>
      <c r="F30" s="10"/>
      <c r="G30" s="10"/>
      <c r="H30" s="10"/>
      <c r="I30" s="10"/>
      <c r="J30" s="10"/>
      <c r="K30" s="10">
        <v>300</v>
      </c>
      <c r="L30" s="10"/>
      <c r="M30" s="10"/>
      <c r="N30" s="10"/>
      <c r="O30" s="10">
        <v>2820</v>
      </c>
      <c r="P30" s="10"/>
      <c r="Q30" s="10"/>
    </row>
    <row r="31" spans="1:17" x14ac:dyDescent="0.25">
      <c r="A31" s="12" t="s">
        <v>260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6">
        <v>760</v>
      </c>
      <c r="P31" s="16"/>
      <c r="Q31" s="10"/>
    </row>
    <row r="32" spans="1:17" x14ac:dyDescent="0.25">
      <c r="A32" t="s">
        <v>261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>
        <v>980</v>
      </c>
      <c r="P32" s="10"/>
      <c r="Q32" s="10"/>
    </row>
    <row r="33" spans="2:17" x14ac:dyDescent="0.2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>
        <v>540</v>
      </c>
      <c r="P33" s="10"/>
      <c r="Q33" s="10"/>
    </row>
    <row r="34" spans="2:17" x14ac:dyDescent="0.25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>
        <v>200</v>
      </c>
      <c r="P34" s="10"/>
      <c r="Q34" s="10"/>
    </row>
    <row r="35" spans="2:17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10">
        <v>950</v>
      </c>
      <c r="L35" s="10"/>
      <c r="M35" s="10"/>
      <c r="N35" s="10"/>
      <c r="O35" s="10">
        <v>580</v>
      </c>
      <c r="P35" s="10"/>
      <c r="Q35" s="10"/>
    </row>
    <row r="36" spans="2:17" x14ac:dyDescent="0.25">
      <c r="B36" s="10"/>
      <c r="C36" s="10"/>
      <c r="D36" s="10"/>
      <c r="E36" s="10"/>
      <c r="F36" s="10"/>
      <c r="G36" s="10"/>
      <c r="H36" s="10"/>
      <c r="I36" s="10"/>
      <c r="J36" s="10"/>
      <c r="K36" s="10">
        <v>140</v>
      </c>
      <c r="L36" s="10"/>
      <c r="M36" s="10"/>
      <c r="N36" s="10"/>
      <c r="O36" s="10">
        <v>500</v>
      </c>
      <c r="P36" s="10"/>
      <c r="Q36" s="10"/>
    </row>
    <row r="37" spans="2:17" x14ac:dyDescent="0.25">
      <c r="B37" s="10"/>
      <c r="C37" s="10"/>
      <c r="D37" s="10"/>
      <c r="E37" s="10"/>
      <c r="F37" s="10"/>
      <c r="G37" s="10"/>
      <c r="H37" s="10"/>
      <c r="I37" s="10"/>
      <c r="J37" s="10"/>
      <c r="K37" s="10">
        <v>210</v>
      </c>
      <c r="L37" s="10"/>
      <c r="M37" s="10"/>
      <c r="N37" s="10"/>
      <c r="O37" s="10"/>
      <c r="P37" s="10"/>
      <c r="Q37" s="10"/>
    </row>
    <row r="38" spans="2:17" x14ac:dyDescent="0.25">
      <c r="B38" s="10"/>
      <c r="C38" s="10"/>
      <c r="D38" s="10"/>
      <c r="E38" s="10"/>
      <c r="F38" s="10"/>
      <c r="G38" s="10"/>
      <c r="H38" s="10"/>
      <c r="I38" s="10"/>
      <c r="J38" s="10"/>
      <c r="K38" s="10">
        <v>580</v>
      </c>
      <c r="L38" s="10"/>
      <c r="M38" s="10">
        <v>200</v>
      </c>
      <c r="N38" s="10"/>
      <c r="O38" s="10"/>
      <c r="P38" s="11"/>
      <c r="Q38" s="10"/>
    </row>
    <row r="39" spans="2:17" x14ac:dyDescent="0.25">
      <c r="B39" s="10"/>
      <c r="C39" s="10"/>
      <c r="D39" s="10"/>
      <c r="E39" s="10"/>
      <c r="F39" s="10"/>
      <c r="G39" s="10"/>
      <c r="H39" s="10"/>
      <c r="I39" s="10"/>
      <c r="J39" s="10"/>
      <c r="K39" s="10">
        <v>180</v>
      </c>
      <c r="L39" s="10"/>
      <c r="M39" s="10">
        <v>70</v>
      </c>
      <c r="N39" s="10"/>
      <c r="O39" s="10"/>
      <c r="P39" s="10"/>
      <c r="Q39" s="10"/>
    </row>
    <row r="40" spans="2:17" x14ac:dyDescent="0.25">
      <c r="B40" s="10"/>
      <c r="C40" s="10"/>
      <c r="D40" s="10"/>
      <c r="E40" s="10"/>
      <c r="F40" s="10"/>
      <c r="G40" s="10"/>
      <c r="H40" s="10"/>
      <c r="I40" s="10"/>
      <c r="J40" s="10"/>
      <c r="K40" s="10">
        <v>200</v>
      </c>
      <c r="L40" s="10"/>
      <c r="M40" s="10">
        <v>110</v>
      </c>
      <c r="N40" s="10"/>
      <c r="O40" s="10"/>
      <c r="P40" s="10"/>
      <c r="Q40" s="10"/>
    </row>
    <row r="41" spans="2:17" x14ac:dyDescent="0.25">
      <c r="B41" s="10"/>
      <c r="C41" s="10"/>
      <c r="D41" s="10"/>
      <c r="E41" s="10"/>
      <c r="F41" s="10"/>
      <c r="G41" s="10"/>
      <c r="H41" s="10"/>
      <c r="I41" s="10"/>
      <c r="J41" s="10"/>
      <c r="K41" s="10">
        <v>40</v>
      </c>
      <c r="L41" s="10"/>
      <c r="M41" s="10">
        <v>50</v>
      </c>
      <c r="N41" s="10"/>
      <c r="O41" s="10"/>
      <c r="P41" s="10"/>
      <c r="Q41" s="10"/>
    </row>
    <row r="42" spans="2:17" x14ac:dyDescent="0.25">
      <c r="K42" s="10">
        <v>110</v>
      </c>
      <c r="M42" s="10">
        <v>100</v>
      </c>
    </row>
    <row r="43" spans="2:17" x14ac:dyDescent="0.25">
      <c r="K43" s="10">
        <v>50</v>
      </c>
    </row>
    <row r="44" spans="2:17" x14ac:dyDescent="0.25">
      <c r="F44" s="10"/>
      <c r="K44" s="10">
        <v>950</v>
      </c>
      <c r="O44" s="10"/>
    </row>
    <row r="45" spans="2:17" x14ac:dyDescent="0.25">
      <c r="F45" s="10"/>
      <c r="K45" s="10">
        <v>640</v>
      </c>
      <c r="O45" s="10"/>
    </row>
    <row r="46" spans="2:17" x14ac:dyDescent="0.25">
      <c r="F46" s="10"/>
      <c r="K46" s="10">
        <v>1000</v>
      </c>
    </row>
  </sheetData>
  <mergeCells count="4">
    <mergeCell ref="B8:I8"/>
    <mergeCell ref="D10:E10"/>
    <mergeCell ref="F10:G10"/>
    <mergeCell ref="H10:I10"/>
  </mergeCells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50"/>
  <sheetViews>
    <sheetView workbookViewId="0">
      <pane ySplit="1" topLeftCell="A2" activePane="bottomLeft" state="frozen"/>
      <selection pane="bottomLeft" activeCell="S124" sqref="S124:S134"/>
    </sheetView>
  </sheetViews>
  <sheetFormatPr defaultRowHeight="15" x14ac:dyDescent="0.25"/>
  <cols>
    <col min="1" max="1" width="14.42578125" style="3" bestFit="1" customWidth="1"/>
    <col min="2" max="2" width="10.85546875" style="3" bestFit="1" customWidth="1"/>
    <col min="3" max="3" width="11.140625" style="2" bestFit="1" customWidth="1"/>
    <col min="4" max="4" width="7" style="2" bestFit="1" customWidth="1"/>
    <col min="5" max="5" width="7.28515625" style="2" bestFit="1" customWidth="1"/>
    <col min="6" max="6" width="6.85546875" style="2" bestFit="1" customWidth="1"/>
    <col min="7" max="7" width="7.140625" style="8" bestFit="1" customWidth="1"/>
    <col min="8" max="8" width="7" style="8" bestFit="1" customWidth="1"/>
    <col min="9" max="9" width="8.140625" style="2" bestFit="1" customWidth="1"/>
    <col min="10" max="10" width="11" style="2" bestFit="1" customWidth="1"/>
    <col min="11" max="16384" width="9.140625" style="2"/>
  </cols>
  <sheetData>
    <row r="1" spans="1:23" s="1" customFormat="1" ht="14.25" x14ac:dyDescent="0.2">
      <c r="A1" s="4"/>
      <c r="B1" s="1" t="s">
        <v>113</v>
      </c>
      <c r="C1" s="1" t="s">
        <v>114</v>
      </c>
      <c r="D1" s="1" t="s">
        <v>116</v>
      </c>
      <c r="E1" s="1" t="s">
        <v>115</v>
      </c>
      <c r="F1" s="1" t="s">
        <v>117</v>
      </c>
      <c r="G1" s="9" t="s">
        <v>118</v>
      </c>
      <c r="H1" s="9" t="s">
        <v>119</v>
      </c>
      <c r="I1" s="1" t="s">
        <v>120</v>
      </c>
      <c r="J1" s="1" t="s">
        <v>121</v>
      </c>
      <c r="K1" s="1" t="s">
        <v>122</v>
      </c>
      <c r="L1" s="1" t="s">
        <v>123</v>
      </c>
    </row>
    <row r="2" spans="1:23" x14ac:dyDescent="0.25">
      <c r="A2" s="4" t="s">
        <v>6</v>
      </c>
      <c r="B2" s="6"/>
      <c r="C2" s="5"/>
      <c r="D2" s="5"/>
      <c r="E2" s="5"/>
      <c r="F2" s="5"/>
      <c r="G2" s="7"/>
      <c r="H2" s="7"/>
      <c r="I2" s="5"/>
      <c r="J2" s="5"/>
      <c r="K2" s="5"/>
      <c r="L2" s="5"/>
      <c r="M2" s="5"/>
      <c r="N2" s="5"/>
    </row>
    <row r="3" spans="1:23" x14ac:dyDescent="0.25">
      <c r="A3" s="3" t="s">
        <v>11</v>
      </c>
      <c r="B3" s="6">
        <v>400</v>
      </c>
      <c r="C3" s="6">
        <v>280</v>
      </c>
      <c r="D3" s="6">
        <v>450</v>
      </c>
      <c r="E3" s="6">
        <v>350</v>
      </c>
      <c r="F3" s="6">
        <v>750</v>
      </c>
      <c r="G3" s="5">
        <v>250</v>
      </c>
      <c r="H3" s="5">
        <v>550</v>
      </c>
      <c r="I3" s="6">
        <v>450</v>
      </c>
      <c r="J3" s="6">
        <v>550</v>
      </c>
      <c r="K3" s="6">
        <v>450</v>
      </c>
      <c r="L3" s="6"/>
      <c r="M3" s="6"/>
      <c r="N3" s="6"/>
      <c r="R3" s="2">
        <v>300</v>
      </c>
    </row>
    <row r="4" spans="1:23" x14ac:dyDescent="0.25">
      <c r="A4" s="3" t="s">
        <v>12</v>
      </c>
      <c r="B4" s="6">
        <f>B3</f>
        <v>400</v>
      </c>
      <c r="C4" s="6">
        <f>C3</f>
        <v>280</v>
      </c>
      <c r="D4" s="6">
        <v>450</v>
      </c>
      <c r="E4" s="6">
        <f t="shared" ref="E4:J4" si="0">E3</f>
        <v>350</v>
      </c>
      <c r="F4" s="6">
        <f t="shared" si="0"/>
        <v>750</v>
      </c>
      <c r="G4" s="5">
        <f t="shared" si="0"/>
        <v>250</v>
      </c>
      <c r="H4" s="5">
        <f t="shared" si="0"/>
        <v>550</v>
      </c>
      <c r="I4" s="6">
        <f t="shared" si="0"/>
        <v>450</v>
      </c>
      <c r="J4" s="6">
        <f t="shared" si="0"/>
        <v>550</v>
      </c>
      <c r="K4" s="6">
        <v>450</v>
      </c>
      <c r="L4" s="6"/>
      <c r="M4" s="6"/>
      <c r="N4" s="6"/>
      <c r="R4" s="2">
        <v>100</v>
      </c>
    </row>
    <row r="5" spans="1:23" x14ac:dyDescent="0.25">
      <c r="A5" s="3" t="s">
        <v>13</v>
      </c>
      <c r="B5" s="6">
        <f>B4</f>
        <v>400</v>
      </c>
      <c r="C5" s="6">
        <v>320</v>
      </c>
      <c r="D5" s="6">
        <v>450</v>
      </c>
      <c r="E5" s="6">
        <f>E4</f>
        <v>350</v>
      </c>
      <c r="F5" s="6">
        <f t="shared" ref="F5:F16" si="1">F4</f>
        <v>750</v>
      </c>
      <c r="G5" s="5">
        <f t="shared" ref="G5:G16" si="2">G4</f>
        <v>250</v>
      </c>
      <c r="H5" s="5">
        <f t="shared" ref="H5:H16" si="3">H4</f>
        <v>550</v>
      </c>
      <c r="I5" s="6">
        <f t="shared" ref="I5:I16" si="4">I4</f>
        <v>450</v>
      </c>
      <c r="J5" s="6">
        <f>J4</f>
        <v>550</v>
      </c>
      <c r="K5" s="6">
        <v>450</v>
      </c>
      <c r="L5" s="6"/>
      <c r="M5" s="6"/>
      <c r="N5" s="6"/>
      <c r="R5" s="2">
        <v>329</v>
      </c>
    </row>
    <row r="6" spans="1:23" x14ac:dyDescent="0.25">
      <c r="A6" s="3" t="s">
        <v>23</v>
      </c>
      <c r="B6" s="6">
        <f>B5</f>
        <v>400</v>
      </c>
      <c r="C6" s="6">
        <f>C5</f>
        <v>320</v>
      </c>
      <c r="D6" s="6">
        <v>450</v>
      </c>
      <c r="E6" s="6">
        <f>E5</f>
        <v>350</v>
      </c>
      <c r="F6" s="6">
        <f t="shared" si="1"/>
        <v>750</v>
      </c>
      <c r="G6" s="5">
        <f t="shared" si="2"/>
        <v>250</v>
      </c>
      <c r="H6" s="5">
        <f t="shared" si="3"/>
        <v>550</v>
      </c>
      <c r="I6" s="6">
        <f t="shared" si="4"/>
        <v>450</v>
      </c>
      <c r="J6" s="6">
        <f>J5</f>
        <v>550</v>
      </c>
      <c r="K6" s="6">
        <v>500</v>
      </c>
      <c r="L6" s="6"/>
      <c r="M6" s="6"/>
      <c r="N6" s="6"/>
      <c r="O6" s="2">
        <v>200</v>
      </c>
      <c r="R6" s="2">
        <v>50</v>
      </c>
    </row>
    <row r="7" spans="1:23" x14ac:dyDescent="0.25">
      <c r="A7" s="3" t="s">
        <v>14</v>
      </c>
      <c r="B7" s="6">
        <v>600</v>
      </c>
      <c r="C7" s="6">
        <f>80*6</f>
        <v>480</v>
      </c>
      <c r="D7" s="6">
        <v>550</v>
      </c>
      <c r="E7" s="6">
        <f>E6</f>
        <v>350</v>
      </c>
      <c r="F7" s="6">
        <f t="shared" si="1"/>
        <v>750</v>
      </c>
      <c r="G7" s="5">
        <f t="shared" si="2"/>
        <v>250</v>
      </c>
      <c r="H7" s="5">
        <f t="shared" si="3"/>
        <v>550</v>
      </c>
      <c r="I7" s="6">
        <f t="shared" si="4"/>
        <v>450</v>
      </c>
      <c r="J7" s="6">
        <v>650</v>
      </c>
      <c r="K7" s="6">
        <v>550</v>
      </c>
      <c r="L7" s="6"/>
      <c r="M7" s="6"/>
      <c r="N7" s="6"/>
      <c r="O7" s="2">
        <v>80</v>
      </c>
      <c r="R7" s="2">
        <v>100</v>
      </c>
    </row>
    <row r="8" spans="1:23" x14ac:dyDescent="0.25">
      <c r="A8" s="3" t="s">
        <v>15</v>
      </c>
      <c r="B8" s="6">
        <v>600</v>
      </c>
      <c r="C8" s="6">
        <f>C7</f>
        <v>480</v>
      </c>
      <c r="D8" s="6">
        <v>650</v>
      </c>
      <c r="E8" s="6">
        <f>E7</f>
        <v>350</v>
      </c>
      <c r="F8" s="6">
        <f t="shared" si="1"/>
        <v>750</v>
      </c>
      <c r="G8" s="5">
        <f t="shared" si="2"/>
        <v>250</v>
      </c>
      <c r="H8" s="5">
        <f t="shared" si="3"/>
        <v>550</v>
      </c>
      <c r="I8" s="6">
        <f t="shared" si="4"/>
        <v>450</v>
      </c>
      <c r="J8" s="6">
        <v>750</v>
      </c>
      <c r="K8" s="6">
        <v>550</v>
      </c>
      <c r="L8" s="6"/>
      <c r="M8" s="6"/>
      <c r="N8" s="6"/>
      <c r="O8" s="2">
        <v>150</v>
      </c>
    </row>
    <row r="9" spans="1:23" x14ac:dyDescent="0.25">
      <c r="A9" s="3" t="s">
        <v>16</v>
      </c>
      <c r="B9" s="6">
        <v>400</v>
      </c>
      <c r="C9" s="6">
        <v>320</v>
      </c>
      <c r="D9" s="6">
        <v>450</v>
      </c>
      <c r="E9" s="6">
        <f t="shared" ref="E9:E16" si="5">E8</f>
        <v>350</v>
      </c>
      <c r="F9" s="6">
        <f t="shared" si="1"/>
        <v>750</v>
      </c>
      <c r="G9" s="5">
        <f t="shared" si="2"/>
        <v>250</v>
      </c>
      <c r="H9" s="5">
        <f t="shared" si="3"/>
        <v>550</v>
      </c>
      <c r="I9" s="6">
        <f t="shared" si="4"/>
        <v>450</v>
      </c>
      <c r="J9" s="6">
        <f>J7</f>
        <v>650</v>
      </c>
      <c r="K9" s="6">
        <v>550</v>
      </c>
      <c r="L9" s="6"/>
      <c r="M9" s="6"/>
      <c r="N9" s="6"/>
      <c r="O9" s="2">
        <v>350</v>
      </c>
      <c r="T9" s="2">
        <v>2200</v>
      </c>
    </row>
    <row r="10" spans="1:23" x14ac:dyDescent="0.25">
      <c r="A10" s="3" t="s">
        <v>17</v>
      </c>
      <c r="B10" s="6">
        <v>400</v>
      </c>
      <c r="C10" s="6">
        <v>320</v>
      </c>
      <c r="D10" s="6">
        <v>450</v>
      </c>
      <c r="E10" s="6">
        <f t="shared" si="5"/>
        <v>350</v>
      </c>
      <c r="F10" s="6">
        <f t="shared" si="1"/>
        <v>750</v>
      </c>
      <c r="G10" s="5">
        <f t="shared" si="2"/>
        <v>250</v>
      </c>
      <c r="H10" s="5">
        <f t="shared" si="3"/>
        <v>550</v>
      </c>
      <c r="I10" s="6">
        <f t="shared" si="4"/>
        <v>450</v>
      </c>
      <c r="J10" s="6">
        <f>J9</f>
        <v>650</v>
      </c>
      <c r="K10" s="6">
        <v>550</v>
      </c>
      <c r="L10" s="6"/>
      <c r="M10" s="6"/>
      <c r="N10" s="6"/>
      <c r="O10" s="2">
        <v>380</v>
      </c>
      <c r="T10" s="2">
        <v>680</v>
      </c>
    </row>
    <row r="11" spans="1:23" x14ac:dyDescent="0.25">
      <c r="A11" s="3" t="s">
        <v>18</v>
      </c>
      <c r="B11" s="6">
        <v>400</v>
      </c>
      <c r="C11" s="6">
        <v>320</v>
      </c>
      <c r="D11" s="6">
        <v>450</v>
      </c>
      <c r="E11" s="6">
        <f t="shared" si="5"/>
        <v>350</v>
      </c>
      <c r="F11" s="6">
        <f t="shared" si="1"/>
        <v>750</v>
      </c>
      <c r="G11" s="5">
        <f t="shared" si="2"/>
        <v>250</v>
      </c>
      <c r="H11" s="5">
        <f t="shared" si="3"/>
        <v>550</v>
      </c>
      <c r="I11" s="6">
        <f t="shared" si="4"/>
        <v>450</v>
      </c>
      <c r="J11" s="6">
        <f>J10</f>
        <v>650</v>
      </c>
      <c r="K11" s="6">
        <v>550</v>
      </c>
      <c r="L11" s="6"/>
      <c r="M11" s="6"/>
      <c r="N11" s="6"/>
      <c r="O11" s="2">
        <v>320</v>
      </c>
      <c r="T11" s="2">
        <v>300</v>
      </c>
    </row>
    <row r="12" spans="1:23" x14ac:dyDescent="0.25">
      <c r="A12" s="3" t="s">
        <v>110</v>
      </c>
      <c r="B12" s="6">
        <f>B10</f>
        <v>400</v>
      </c>
      <c r="C12" s="6">
        <v>320</v>
      </c>
      <c r="D12" s="6">
        <v>550</v>
      </c>
      <c r="E12" s="6">
        <f t="shared" si="5"/>
        <v>350</v>
      </c>
      <c r="F12" s="6">
        <f t="shared" si="1"/>
        <v>750</v>
      </c>
      <c r="G12" s="5">
        <f t="shared" si="2"/>
        <v>250</v>
      </c>
      <c r="H12" s="5">
        <f t="shared" si="3"/>
        <v>550</v>
      </c>
      <c r="I12" s="6">
        <f t="shared" si="4"/>
        <v>450</v>
      </c>
      <c r="J12" s="6">
        <f>J11</f>
        <v>650</v>
      </c>
      <c r="K12" s="6">
        <v>550</v>
      </c>
      <c r="L12" s="6"/>
      <c r="M12" s="6"/>
      <c r="N12" s="6"/>
      <c r="O12" s="2">
        <v>50</v>
      </c>
      <c r="W12" s="2">
        <v>450</v>
      </c>
    </row>
    <row r="13" spans="1:23" x14ac:dyDescent="0.25">
      <c r="A13" s="3" t="s">
        <v>19</v>
      </c>
      <c r="B13" s="6">
        <f>B8</f>
        <v>600</v>
      </c>
      <c r="C13" s="6">
        <v>480</v>
      </c>
      <c r="D13" s="6">
        <v>650</v>
      </c>
      <c r="E13" s="6">
        <f t="shared" si="5"/>
        <v>350</v>
      </c>
      <c r="F13" s="6">
        <f t="shared" si="1"/>
        <v>750</v>
      </c>
      <c r="G13" s="5">
        <f t="shared" si="2"/>
        <v>250</v>
      </c>
      <c r="H13" s="5">
        <f t="shared" si="3"/>
        <v>550</v>
      </c>
      <c r="I13" s="6">
        <f t="shared" si="4"/>
        <v>450</v>
      </c>
      <c r="J13" s="6">
        <f>J8</f>
        <v>750</v>
      </c>
      <c r="K13" s="6">
        <v>550</v>
      </c>
      <c r="L13" s="6"/>
      <c r="M13" s="6"/>
      <c r="N13" s="6"/>
      <c r="O13" s="2">
        <v>200</v>
      </c>
      <c r="W13" s="2">
        <v>380</v>
      </c>
    </row>
    <row r="14" spans="1:23" x14ac:dyDescent="0.25">
      <c r="A14" s="3" t="s">
        <v>20</v>
      </c>
      <c r="B14" s="6">
        <f>B13</f>
        <v>600</v>
      </c>
      <c r="C14" s="6">
        <v>480</v>
      </c>
      <c r="D14" s="6">
        <v>650</v>
      </c>
      <c r="E14" s="6">
        <f t="shared" si="5"/>
        <v>350</v>
      </c>
      <c r="F14" s="6">
        <f t="shared" si="1"/>
        <v>750</v>
      </c>
      <c r="G14" s="5">
        <f t="shared" si="2"/>
        <v>250</v>
      </c>
      <c r="H14" s="5">
        <f t="shared" si="3"/>
        <v>550</v>
      </c>
      <c r="I14" s="6">
        <f t="shared" si="4"/>
        <v>450</v>
      </c>
      <c r="J14" s="6">
        <f>J13</f>
        <v>750</v>
      </c>
      <c r="K14" s="6">
        <v>550</v>
      </c>
      <c r="L14" s="6"/>
      <c r="M14" s="6"/>
      <c r="N14" s="6"/>
      <c r="W14" s="2">
        <v>350</v>
      </c>
    </row>
    <row r="15" spans="1:23" x14ac:dyDescent="0.25">
      <c r="A15" s="3" t="s">
        <v>21</v>
      </c>
      <c r="B15" s="6">
        <f>B11</f>
        <v>400</v>
      </c>
      <c r="C15" s="6">
        <v>320</v>
      </c>
      <c r="D15" s="6">
        <v>550</v>
      </c>
      <c r="E15" s="6">
        <f t="shared" si="5"/>
        <v>350</v>
      </c>
      <c r="F15" s="6">
        <f t="shared" si="1"/>
        <v>750</v>
      </c>
      <c r="G15" s="5">
        <f t="shared" si="2"/>
        <v>250</v>
      </c>
      <c r="H15" s="5">
        <f t="shared" si="3"/>
        <v>550</v>
      </c>
      <c r="I15" s="6">
        <f t="shared" si="4"/>
        <v>450</v>
      </c>
      <c r="J15" s="6">
        <f>J11</f>
        <v>650</v>
      </c>
      <c r="K15" s="6">
        <v>550</v>
      </c>
      <c r="L15" s="6"/>
      <c r="M15" s="6"/>
      <c r="N15" s="6"/>
      <c r="W15" s="2">
        <v>320</v>
      </c>
    </row>
    <row r="16" spans="1:23" x14ac:dyDescent="0.25">
      <c r="A16" s="3" t="s">
        <v>22</v>
      </c>
      <c r="B16" s="6">
        <f>B12</f>
        <v>400</v>
      </c>
      <c r="C16" s="6">
        <v>320</v>
      </c>
      <c r="D16" s="6">
        <v>550</v>
      </c>
      <c r="E16" s="6">
        <f t="shared" si="5"/>
        <v>350</v>
      </c>
      <c r="F16" s="6">
        <f t="shared" si="1"/>
        <v>750</v>
      </c>
      <c r="G16" s="5">
        <f t="shared" si="2"/>
        <v>250</v>
      </c>
      <c r="H16" s="5">
        <f t="shared" si="3"/>
        <v>550</v>
      </c>
      <c r="I16" s="6">
        <f t="shared" si="4"/>
        <v>450</v>
      </c>
      <c r="J16" s="6">
        <f>J15</f>
        <v>650</v>
      </c>
      <c r="K16" s="6">
        <v>550</v>
      </c>
      <c r="L16" s="6"/>
      <c r="M16" s="6"/>
      <c r="N16" s="6"/>
      <c r="O16" s="2">
        <f>SUM(O6:O15)</f>
        <v>1730</v>
      </c>
      <c r="W16" s="2">
        <v>200</v>
      </c>
    </row>
    <row r="17" spans="1:23" x14ac:dyDescent="0.25">
      <c r="B17" s="6"/>
      <c r="C17" s="6"/>
      <c r="D17" s="6"/>
      <c r="E17" s="6"/>
      <c r="F17" s="6"/>
      <c r="G17" s="5"/>
      <c r="H17" s="5"/>
      <c r="I17" s="6"/>
      <c r="J17" s="6"/>
      <c r="K17" s="6"/>
      <c r="L17" s="6"/>
      <c r="M17" s="6">
        <v>350</v>
      </c>
      <c r="N17" s="6"/>
      <c r="W17" s="2">
        <v>200</v>
      </c>
    </row>
    <row r="18" spans="1:23" x14ac:dyDescent="0.25">
      <c r="A18" s="4" t="s">
        <v>7</v>
      </c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1565</v>
      </c>
      <c r="N18" s="5"/>
      <c r="W18" s="2">
        <v>300</v>
      </c>
    </row>
    <row r="19" spans="1:23" x14ac:dyDescent="0.25">
      <c r="A19" s="3" t="s">
        <v>24</v>
      </c>
      <c r="B19" s="6">
        <f>B3</f>
        <v>400</v>
      </c>
      <c r="C19" s="6"/>
      <c r="D19" s="6"/>
      <c r="E19" s="6"/>
      <c r="F19" s="6"/>
      <c r="G19" s="5"/>
      <c r="H19" s="5"/>
      <c r="I19" s="6"/>
      <c r="J19" s="6"/>
      <c r="K19" s="6"/>
      <c r="L19" s="6"/>
      <c r="M19" s="6"/>
      <c r="N19" s="5"/>
    </row>
    <row r="20" spans="1:23" x14ac:dyDescent="0.25">
      <c r="A20" s="3" t="s">
        <v>25</v>
      </c>
      <c r="B20" s="6">
        <f>B19</f>
        <v>400</v>
      </c>
      <c r="C20" s="6"/>
      <c r="D20" s="6"/>
      <c r="E20" s="6"/>
      <c r="F20" s="6"/>
      <c r="G20" s="5"/>
      <c r="H20" s="5"/>
      <c r="I20" s="6"/>
      <c r="J20" s="6"/>
      <c r="K20" s="6"/>
      <c r="L20" s="6"/>
      <c r="M20" s="6"/>
      <c r="N20" s="5"/>
      <c r="R20" s="2">
        <v>200</v>
      </c>
    </row>
    <row r="21" spans="1:23" x14ac:dyDescent="0.25">
      <c r="A21" s="3" t="s">
        <v>26</v>
      </c>
      <c r="B21" s="6">
        <f t="shared" ref="B21:B31" si="6">B20</f>
        <v>400</v>
      </c>
      <c r="C21" s="6"/>
      <c r="D21" s="6"/>
      <c r="E21" s="6"/>
      <c r="F21" s="6"/>
      <c r="G21" s="5"/>
      <c r="H21" s="5"/>
      <c r="I21" s="6"/>
      <c r="J21" s="6"/>
      <c r="K21" s="6"/>
      <c r="L21" s="6"/>
      <c r="M21" s="6"/>
      <c r="N21" s="5"/>
      <c r="R21" s="2">
        <v>650</v>
      </c>
    </row>
    <row r="22" spans="1:23" x14ac:dyDescent="0.25">
      <c r="A22" s="3" t="s">
        <v>27</v>
      </c>
      <c r="B22" s="6">
        <f t="shared" si="6"/>
        <v>400</v>
      </c>
      <c r="C22" s="6"/>
      <c r="D22" s="6"/>
      <c r="E22" s="6"/>
      <c r="F22" s="6"/>
      <c r="G22" s="5"/>
      <c r="H22" s="5"/>
      <c r="I22" s="6"/>
      <c r="J22" s="6"/>
      <c r="K22" s="6"/>
      <c r="L22" s="6"/>
      <c r="M22" s="6"/>
      <c r="N22" s="5"/>
      <c r="R22" s="2">
        <v>280</v>
      </c>
      <c r="U22" s="2">
        <v>200</v>
      </c>
    </row>
    <row r="23" spans="1:23" x14ac:dyDescent="0.25">
      <c r="A23" s="3" t="s">
        <v>28</v>
      </c>
      <c r="B23" s="6">
        <f t="shared" si="6"/>
        <v>400</v>
      </c>
      <c r="C23" s="6"/>
      <c r="D23" s="6"/>
      <c r="E23" s="6"/>
      <c r="F23" s="6"/>
      <c r="G23" s="5"/>
      <c r="H23" s="5"/>
      <c r="I23" s="6"/>
      <c r="J23" s="6"/>
      <c r="K23" s="6"/>
      <c r="L23" s="6"/>
      <c r="M23" s="6"/>
      <c r="N23" s="5"/>
      <c r="O23" s="2">
        <v>200</v>
      </c>
      <c r="R23" s="2">
        <v>350</v>
      </c>
      <c r="U23" s="2">
        <v>120</v>
      </c>
    </row>
    <row r="24" spans="1:23" x14ac:dyDescent="0.25">
      <c r="A24" s="3" t="s">
        <v>29</v>
      </c>
      <c r="B24" s="6">
        <f t="shared" si="6"/>
        <v>400</v>
      </c>
      <c r="C24" s="6"/>
      <c r="D24" s="6"/>
      <c r="E24" s="6"/>
      <c r="F24" s="6"/>
      <c r="G24" s="5"/>
      <c r="H24" s="5"/>
      <c r="I24" s="6"/>
      <c r="J24" s="6"/>
      <c r="K24" s="6"/>
      <c r="L24" s="6"/>
      <c r="M24" s="6"/>
      <c r="N24" s="5"/>
      <c r="O24" s="2">
        <v>40</v>
      </c>
      <c r="R24" s="2">
        <v>150</v>
      </c>
      <c r="U24" s="2">
        <v>70</v>
      </c>
    </row>
    <row r="25" spans="1:23" x14ac:dyDescent="0.25">
      <c r="A25" s="3" t="s">
        <v>30</v>
      </c>
      <c r="B25" s="6">
        <f t="shared" si="6"/>
        <v>400</v>
      </c>
      <c r="C25" s="6"/>
      <c r="D25" s="6"/>
      <c r="E25" s="6"/>
      <c r="F25" s="6"/>
      <c r="G25" s="5"/>
      <c r="H25" s="5"/>
      <c r="I25" s="6"/>
      <c r="J25" s="6"/>
      <c r="K25" s="6"/>
      <c r="L25" s="6"/>
      <c r="M25" s="6"/>
      <c r="N25" s="5"/>
      <c r="O25" s="2">
        <v>120</v>
      </c>
      <c r="R25" s="2">
        <v>300</v>
      </c>
      <c r="U25" s="2">
        <v>50</v>
      </c>
    </row>
    <row r="26" spans="1:23" x14ac:dyDescent="0.25">
      <c r="A26" s="3" t="s">
        <v>31</v>
      </c>
      <c r="B26" s="6">
        <f t="shared" si="6"/>
        <v>400</v>
      </c>
      <c r="C26" s="6"/>
      <c r="D26" s="6"/>
      <c r="E26" s="6"/>
      <c r="F26" s="6"/>
      <c r="G26" s="5"/>
      <c r="H26" s="5"/>
      <c r="I26" s="6"/>
      <c r="J26" s="6"/>
      <c r="K26" s="6"/>
      <c r="L26" s="6"/>
      <c r="M26" s="6"/>
      <c r="N26" s="5"/>
      <c r="O26" s="2">
        <v>50</v>
      </c>
      <c r="U26" s="2">
        <v>100</v>
      </c>
      <c r="W26" s="2">
        <f>SUM(W12:W25)</f>
        <v>2200</v>
      </c>
    </row>
    <row r="27" spans="1:23" x14ac:dyDescent="0.25">
      <c r="A27" s="3" t="s">
        <v>36</v>
      </c>
      <c r="B27" s="6">
        <f t="shared" si="6"/>
        <v>400</v>
      </c>
      <c r="C27" s="6"/>
      <c r="D27" s="6"/>
      <c r="E27" s="6"/>
      <c r="F27" s="6"/>
      <c r="G27" s="5"/>
      <c r="H27" s="5"/>
      <c r="I27" s="6"/>
      <c r="J27" s="6"/>
      <c r="K27" s="6"/>
      <c r="L27" s="6"/>
      <c r="M27" s="6"/>
      <c r="N27" s="5"/>
      <c r="O27" s="2">
        <v>100</v>
      </c>
      <c r="U27" s="2">
        <f>SUM(U22:U26)</f>
        <v>540</v>
      </c>
    </row>
    <row r="28" spans="1:23" x14ac:dyDescent="0.25">
      <c r="A28" s="3" t="s">
        <v>32</v>
      </c>
      <c r="B28" s="6">
        <f t="shared" si="6"/>
        <v>400</v>
      </c>
      <c r="C28" s="6"/>
      <c r="D28" s="6"/>
      <c r="E28" s="6"/>
      <c r="F28" s="6"/>
      <c r="G28" s="5"/>
      <c r="H28" s="5"/>
      <c r="I28" s="6"/>
      <c r="J28" s="6"/>
      <c r="K28" s="6"/>
      <c r="L28" s="6"/>
      <c r="M28" s="6"/>
      <c r="N28" s="5"/>
    </row>
    <row r="29" spans="1:23" x14ac:dyDescent="0.25">
      <c r="A29" s="3" t="s">
        <v>33</v>
      </c>
      <c r="B29" s="6">
        <f t="shared" si="6"/>
        <v>400</v>
      </c>
      <c r="C29" s="6"/>
      <c r="D29" s="6"/>
      <c r="E29" s="6"/>
      <c r="F29" s="6"/>
      <c r="G29" s="5"/>
      <c r="H29" s="5"/>
      <c r="I29" s="6"/>
      <c r="J29" s="6"/>
      <c r="K29" s="6"/>
      <c r="L29" s="6"/>
      <c r="M29" s="6"/>
      <c r="N29" s="5"/>
      <c r="R29" s="2">
        <f>SUM(R20:R28)</f>
        <v>1930</v>
      </c>
    </row>
    <row r="30" spans="1:23" x14ac:dyDescent="0.25">
      <c r="A30" s="3" t="s">
        <v>34</v>
      </c>
      <c r="B30" s="6">
        <f t="shared" si="6"/>
        <v>400</v>
      </c>
      <c r="C30" s="6"/>
      <c r="D30" s="6"/>
      <c r="E30" s="6"/>
      <c r="F30" s="6"/>
      <c r="G30" s="5"/>
      <c r="H30" s="5"/>
      <c r="I30" s="6"/>
      <c r="J30" s="6"/>
      <c r="K30" s="6"/>
      <c r="L30" s="6"/>
      <c r="M30" s="6"/>
      <c r="N30" s="5"/>
      <c r="P30" s="2">
        <v>200</v>
      </c>
    </row>
    <row r="31" spans="1:23" x14ac:dyDescent="0.25">
      <c r="A31" s="3" t="s">
        <v>35</v>
      </c>
      <c r="B31" s="6">
        <f t="shared" si="6"/>
        <v>400</v>
      </c>
      <c r="C31" s="6"/>
      <c r="D31" s="6"/>
      <c r="E31" s="6"/>
      <c r="F31" s="6"/>
      <c r="G31" s="5"/>
      <c r="H31" s="5"/>
      <c r="I31" s="6"/>
      <c r="J31" s="6"/>
      <c r="K31" s="6"/>
      <c r="L31" s="6"/>
      <c r="M31" s="6"/>
      <c r="N31" s="5"/>
    </row>
    <row r="32" spans="1:23" x14ac:dyDescent="0.25">
      <c r="A32" s="3" t="s">
        <v>37</v>
      </c>
      <c r="B32" s="6">
        <v>600</v>
      </c>
      <c r="C32" s="6"/>
      <c r="D32" s="6"/>
      <c r="E32" s="6"/>
      <c r="F32" s="6"/>
      <c r="G32" s="5"/>
      <c r="H32" s="5"/>
      <c r="I32" s="6"/>
      <c r="J32" s="6"/>
      <c r="K32" s="6"/>
      <c r="L32" s="6"/>
      <c r="M32" s="6"/>
      <c r="N32" s="5"/>
    </row>
    <row r="33" spans="1:22" x14ac:dyDescent="0.25">
      <c r="A33" s="3" t="s">
        <v>38</v>
      </c>
      <c r="B33" s="6">
        <v>600</v>
      </c>
      <c r="C33" s="6"/>
      <c r="D33" s="6"/>
      <c r="E33" s="6"/>
      <c r="F33" s="6"/>
      <c r="G33" s="5"/>
      <c r="H33" s="5"/>
      <c r="I33" s="6"/>
      <c r="J33" s="6"/>
      <c r="K33" s="6"/>
      <c r="L33" s="6"/>
      <c r="M33" s="6"/>
      <c r="N33" s="5"/>
      <c r="S33" s="2">
        <v>100</v>
      </c>
      <c r="V33" s="2">
        <v>1600</v>
      </c>
    </row>
    <row r="34" spans="1:22" x14ac:dyDescent="0.25">
      <c r="A34" s="4" t="s">
        <v>7</v>
      </c>
      <c r="B34" s="1" t="s">
        <v>113</v>
      </c>
      <c r="C34" s="1" t="s">
        <v>114</v>
      </c>
      <c r="D34" s="1" t="s">
        <v>116</v>
      </c>
      <c r="E34" s="1" t="s">
        <v>115</v>
      </c>
      <c r="F34" s="1" t="s">
        <v>117</v>
      </c>
      <c r="G34" s="9" t="s">
        <v>118</v>
      </c>
      <c r="H34" s="9" t="s">
        <v>119</v>
      </c>
      <c r="I34" s="1" t="s">
        <v>120</v>
      </c>
      <c r="J34" s="1" t="s">
        <v>121</v>
      </c>
      <c r="K34" s="1" t="s">
        <v>122</v>
      </c>
      <c r="L34" s="1" t="s">
        <v>123</v>
      </c>
      <c r="M34" s="1" t="s">
        <v>5</v>
      </c>
      <c r="N34" s="5"/>
      <c r="S34" s="2">
        <v>780</v>
      </c>
      <c r="V34" s="2">
        <v>750</v>
      </c>
    </row>
    <row r="35" spans="1:22" x14ac:dyDescent="0.25">
      <c r="A35" s="3" t="s">
        <v>39</v>
      </c>
      <c r="B35" s="6">
        <v>400</v>
      </c>
      <c r="C35" s="6"/>
      <c r="D35" s="6"/>
      <c r="E35" s="6"/>
      <c r="F35" s="6"/>
      <c r="G35" s="5"/>
      <c r="H35" s="5"/>
      <c r="I35" s="6"/>
      <c r="J35" s="6"/>
      <c r="K35" s="6"/>
      <c r="L35" s="6"/>
      <c r="M35" s="6"/>
      <c r="N35" s="5"/>
      <c r="S35" s="2">
        <v>380</v>
      </c>
      <c r="V35" s="2">
        <v>200</v>
      </c>
    </row>
    <row r="36" spans="1:22" x14ac:dyDescent="0.25">
      <c r="A36" s="3" t="s">
        <v>43</v>
      </c>
      <c r="B36" s="6"/>
      <c r="C36" s="6"/>
      <c r="D36" s="6"/>
      <c r="E36" s="6"/>
      <c r="F36" s="6"/>
      <c r="G36" s="5"/>
      <c r="H36" s="5"/>
      <c r="I36" s="6"/>
      <c r="J36" s="6"/>
      <c r="K36" s="6"/>
      <c r="L36" s="6"/>
      <c r="M36" s="6"/>
      <c r="N36" s="5"/>
      <c r="S36" s="2">
        <v>250</v>
      </c>
    </row>
    <row r="37" spans="1:22" x14ac:dyDescent="0.25">
      <c r="A37" s="3" t="s">
        <v>40</v>
      </c>
      <c r="B37" s="6"/>
      <c r="C37" s="6"/>
      <c r="D37" s="6"/>
      <c r="E37" s="6"/>
      <c r="F37" s="6"/>
      <c r="G37" s="5"/>
      <c r="H37" s="5"/>
      <c r="I37" s="6"/>
      <c r="J37" s="6"/>
      <c r="K37" s="6"/>
      <c r="L37" s="6"/>
      <c r="M37" s="6"/>
      <c r="N37" s="5"/>
      <c r="Q37" s="2">
        <v>300</v>
      </c>
      <c r="S37" s="2">
        <v>140</v>
      </c>
    </row>
    <row r="38" spans="1:22" x14ac:dyDescent="0.25">
      <c r="A38" s="3" t="s">
        <v>41</v>
      </c>
      <c r="B38" s="6"/>
      <c r="C38" s="6"/>
      <c r="D38" s="6"/>
      <c r="E38" s="6"/>
      <c r="F38" s="6"/>
      <c r="G38" s="5"/>
      <c r="H38" s="5"/>
      <c r="I38" s="6"/>
      <c r="J38" s="6"/>
      <c r="K38" s="6"/>
      <c r="L38" s="6"/>
      <c r="M38" s="6"/>
      <c r="N38" s="5"/>
      <c r="O38" s="2">
        <v>580</v>
      </c>
      <c r="Q38" s="2">
        <v>85</v>
      </c>
      <c r="S38" s="2">
        <v>140</v>
      </c>
    </row>
    <row r="39" spans="1:22" x14ac:dyDescent="0.25">
      <c r="A39" s="3" t="s">
        <v>42</v>
      </c>
      <c r="B39" s="6"/>
      <c r="C39" s="6"/>
      <c r="D39" s="6"/>
      <c r="E39" s="6"/>
      <c r="F39" s="6"/>
      <c r="G39" s="5"/>
      <c r="H39" s="5"/>
      <c r="I39" s="6"/>
      <c r="J39" s="6"/>
      <c r="K39" s="6"/>
      <c r="L39" s="6"/>
      <c r="M39" s="6"/>
      <c r="N39" s="5"/>
      <c r="O39" s="2">
        <v>350</v>
      </c>
      <c r="Q39" s="2">
        <v>180</v>
      </c>
      <c r="S39" s="2">
        <v>480</v>
      </c>
    </row>
    <row r="40" spans="1:22" x14ac:dyDescent="0.25">
      <c r="B40" s="6"/>
      <c r="C40" s="6"/>
      <c r="D40" s="6"/>
      <c r="E40" s="6"/>
      <c r="F40" s="6"/>
      <c r="G40" s="5"/>
      <c r="H40" s="5"/>
      <c r="I40" s="6"/>
      <c r="J40" s="6"/>
      <c r="K40" s="6"/>
      <c r="L40" s="6"/>
      <c r="M40" s="6"/>
      <c r="N40" s="5"/>
      <c r="O40" s="2">
        <v>750</v>
      </c>
      <c r="Q40" s="2">
        <v>50</v>
      </c>
      <c r="S40" s="2">
        <v>500</v>
      </c>
    </row>
    <row r="41" spans="1:22" x14ac:dyDescent="0.25">
      <c r="A41" s="4" t="s">
        <v>8</v>
      </c>
      <c r="B41" s="6"/>
      <c r="C41" s="6"/>
      <c r="D41" s="6"/>
      <c r="E41" s="6"/>
      <c r="F41" s="6"/>
      <c r="G41" s="5"/>
      <c r="H41" s="5"/>
      <c r="I41" s="6"/>
      <c r="J41" s="6"/>
      <c r="K41" s="6"/>
      <c r="L41" s="6"/>
      <c r="M41" s="6"/>
      <c r="N41" s="5"/>
      <c r="O41" s="2">
        <v>200</v>
      </c>
      <c r="Q41" s="2">
        <v>100</v>
      </c>
      <c r="V41" s="2">
        <v>960</v>
      </c>
    </row>
    <row r="42" spans="1:22" x14ac:dyDescent="0.25">
      <c r="A42" s="3" t="s">
        <v>44</v>
      </c>
      <c r="B42" s="6"/>
      <c r="C42" s="6"/>
      <c r="D42" s="6"/>
      <c r="E42" s="6"/>
      <c r="F42" s="6"/>
      <c r="G42" s="5"/>
      <c r="H42" s="5"/>
      <c r="I42" s="6"/>
      <c r="J42" s="6"/>
      <c r="K42" s="6"/>
      <c r="L42" s="6"/>
      <c r="M42" s="6"/>
      <c r="N42" s="5"/>
      <c r="V42" s="2">
        <v>40</v>
      </c>
    </row>
    <row r="43" spans="1:22" x14ac:dyDescent="0.25">
      <c r="A43" s="3" t="s">
        <v>45</v>
      </c>
      <c r="B43" s="6"/>
      <c r="C43" s="6"/>
      <c r="D43" s="6"/>
      <c r="E43" s="6"/>
      <c r="F43" s="6"/>
      <c r="G43" s="5"/>
      <c r="H43" s="5"/>
      <c r="I43" s="6"/>
      <c r="J43" s="6"/>
      <c r="K43" s="6"/>
      <c r="L43" s="6"/>
      <c r="M43" s="6"/>
      <c r="N43" s="5">
        <v>200</v>
      </c>
    </row>
    <row r="44" spans="1:22" x14ac:dyDescent="0.25">
      <c r="A44" s="3" t="s">
        <v>46</v>
      </c>
      <c r="B44" s="6"/>
      <c r="C44" s="6"/>
      <c r="D44" s="6"/>
      <c r="E44" s="6"/>
      <c r="F44" s="6"/>
      <c r="G44" s="5"/>
      <c r="H44" s="5"/>
      <c r="I44" s="6"/>
      <c r="J44" s="6"/>
      <c r="K44" s="6"/>
      <c r="L44" s="6"/>
      <c r="M44" s="6"/>
      <c r="N44" s="5">
        <v>80</v>
      </c>
    </row>
    <row r="45" spans="1:22" x14ac:dyDescent="0.25">
      <c r="A45" s="3" t="s">
        <v>47</v>
      </c>
      <c r="B45" s="6"/>
      <c r="C45" s="6"/>
      <c r="D45" s="6"/>
      <c r="E45" s="6"/>
      <c r="F45" s="6"/>
      <c r="G45" s="5"/>
      <c r="H45" s="5"/>
      <c r="I45" s="6"/>
      <c r="J45" s="6"/>
      <c r="K45" s="6"/>
      <c r="L45" s="6"/>
      <c r="M45" s="6"/>
      <c r="N45" s="5">
        <v>120</v>
      </c>
      <c r="R45" s="2">
        <v>780</v>
      </c>
    </row>
    <row r="46" spans="1:22" x14ac:dyDescent="0.25">
      <c r="A46" s="3" t="s">
        <v>48</v>
      </c>
      <c r="B46" s="6"/>
      <c r="C46" s="6"/>
      <c r="D46" s="6"/>
      <c r="E46" s="6"/>
      <c r="F46" s="6"/>
      <c r="G46" s="5"/>
      <c r="H46" s="5"/>
      <c r="I46" s="6"/>
      <c r="J46" s="6"/>
      <c r="K46" s="6"/>
      <c r="L46" s="6"/>
      <c r="M46" s="6"/>
      <c r="N46" s="5">
        <v>50</v>
      </c>
      <c r="R46" s="2">
        <v>320</v>
      </c>
    </row>
    <row r="47" spans="1:22" x14ac:dyDescent="0.25">
      <c r="A47" s="3" t="s">
        <v>49</v>
      </c>
      <c r="B47" s="6"/>
      <c r="C47" s="6"/>
      <c r="D47" s="6"/>
      <c r="E47" s="6"/>
      <c r="F47" s="6"/>
      <c r="G47" s="5"/>
      <c r="H47" s="5"/>
      <c r="I47" s="6"/>
      <c r="J47" s="6"/>
      <c r="K47" s="6"/>
      <c r="L47" s="6"/>
      <c r="M47" s="6"/>
      <c r="N47" s="5">
        <v>100</v>
      </c>
      <c r="R47" s="2">
        <v>200</v>
      </c>
    </row>
    <row r="48" spans="1:22" x14ac:dyDescent="0.25">
      <c r="A48" s="3" t="s">
        <v>52</v>
      </c>
      <c r="B48" s="6"/>
      <c r="C48" s="6"/>
      <c r="D48" s="6"/>
      <c r="E48" s="6"/>
      <c r="F48" s="6"/>
      <c r="G48" s="5"/>
      <c r="H48" s="5"/>
      <c r="I48" s="6"/>
      <c r="J48" s="6"/>
      <c r="K48" s="6"/>
      <c r="L48" s="6"/>
      <c r="M48" s="6"/>
      <c r="N48" s="5"/>
      <c r="R48" s="2">
        <v>200</v>
      </c>
    </row>
    <row r="49" spans="1:21" x14ac:dyDescent="0.25">
      <c r="A49" s="3" t="s">
        <v>17</v>
      </c>
      <c r="B49" s="6"/>
      <c r="C49" s="6"/>
      <c r="D49" s="6"/>
      <c r="E49" s="6"/>
      <c r="F49" s="6"/>
      <c r="G49" s="5"/>
      <c r="H49" s="5"/>
      <c r="I49" s="6"/>
      <c r="J49" s="6"/>
      <c r="K49" s="6"/>
      <c r="L49" s="6"/>
      <c r="M49" s="6"/>
      <c r="N49" s="5"/>
    </row>
    <row r="50" spans="1:21" x14ac:dyDescent="0.25">
      <c r="A50" s="3" t="s">
        <v>50</v>
      </c>
      <c r="B50" s="6"/>
      <c r="C50" s="6"/>
      <c r="D50" s="6"/>
      <c r="E50" s="6"/>
      <c r="F50" s="6"/>
      <c r="G50" s="5"/>
      <c r="H50" s="5"/>
      <c r="I50" s="6"/>
      <c r="J50" s="6"/>
      <c r="K50" s="6"/>
      <c r="L50" s="6"/>
      <c r="M50" s="6"/>
      <c r="N50" s="5"/>
      <c r="U50" s="2">
        <v>4800</v>
      </c>
    </row>
    <row r="51" spans="1:21" x14ac:dyDescent="0.25">
      <c r="A51" s="3" t="s">
        <v>51</v>
      </c>
      <c r="B51" s="6"/>
      <c r="C51" s="6"/>
      <c r="D51" s="6"/>
      <c r="E51" s="6"/>
      <c r="F51" s="6"/>
      <c r="G51" s="5"/>
      <c r="H51" s="5"/>
      <c r="I51" s="6"/>
      <c r="J51" s="6"/>
      <c r="K51" s="6"/>
      <c r="L51" s="6"/>
      <c r="M51" s="6"/>
      <c r="N51" s="5"/>
      <c r="U51" s="2">
        <v>870</v>
      </c>
    </row>
    <row r="52" spans="1:21" x14ac:dyDescent="0.25">
      <c r="A52" s="3" t="s">
        <v>53</v>
      </c>
      <c r="B52" s="6"/>
      <c r="C52" s="6"/>
      <c r="D52" s="6"/>
      <c r="E52" s="6"/>
      <c r="F52" s="6"/>
      <c r="G52" s="5"/>
      <c r="H52" s="5"/>
      <c r="I52" s="6"/>
      <c r="J52" s="6"/>
      <c r="K52" s="6"/>
      <c r="L52" s="6"/>
      <c r="M52" s="6"/>
      <c r="N52" s="5"/>
      <c r="S52" s="2">
        <f>880/20</f>
        <v>44</v>
      </c>
      <c r="U52" s="2">
        <v>300</v>
      </c>
    </row>
    <row r="53" spans="1:21" x14ac:dyDescent="0.25">
      <c r="A53" s="3" t="s">
        <v>54</v>
      </c>
      <c r="B53" s="6"/>
      <c r="C53" s="6"/>
      <c r="D53" s="6"/>
      <c r="E53" s="6"/>
      <c r="F53" s="6"/>
      <c r="G53" s="5"/>
      <c r="H53" s="5"/>
      <c r="I53" s="6"/>
      <c r="J53" s="6"/>
      <c r="K53" s="6"/>
      <c r="L53" s="6"/>
      <c r="M53" s="6"/>
      <c r="N53" s="5"/>
      <c r="P53" s="2">
        <f>5.8*700</f>
        <v>4060</v>
      </c>
    </row>
    <row r="54" spans="1:21" x14ac:dyDescent="0.25">
      <c r="A54" s="3" t="s">
        <v>55</v>
      </c>
      <c r="B54" s="6"/>
      <c r="C54" s="6"/>
      <c r="D54" s="6"/>
      <c r="E54" s="6"/>
      <c r="F54" s="6"/>
      <c r="G54" s="5"/>
      <c r="H54" s="5"/>
      <c r="I54" s="6"/>
      <c r="J54" s="6"/>
      <c r="K54" s="6"/>
      <c r="L54" s="6"/>
      <c r="M54" s="6"/>
      <c r="N54" s="5"/>
      <c r="P54" s="2">
        <v>-3000</v>
      </c>
    </row>
    <row r="55" spans="1:21" x14ac:dyDescent="0.25">
      <c r="A55" s="3" t="s">
        <v>56</v>
      </c>
      <c r="B55" s="6"/>
      <c r="C55" s="6"/>
      <c r="D55" s="6"/>
      <c r="E55" s="6"/>
      <c r="F55" s="6"/>
      <c r="G55" s="5"/>
      <c r="H55" s="5"/>
      <c r="I55" s="6"/>
      <c r="J55" s="6"/>
      <c r="K55" s="6"/>
      <c r="L55" s="6"/>
      <c r="M55" s="6"/>
      <c r="N55" s="5"/>
    </row>
    <row r="56" spans="1:21" x14ac:dyDescent="0.25">
      <c r="B56" s="6"/>
      <c r="C56" s="6"/>
      <c r="D56" s="6"/>
      <c r="E56" s="6"/>
      <c r="F56" s="6"/>
      <c r="G56" s="5"/>
      <c r="H56" s="5"/>
      <c r="I56" s="6"/>
      <c r="J56" s="6"/>
      <c r="K56" s="6"/>
      <c r="L56" s="6"/>
      <c r="M56" s="6"/>
      <c r="N56" s="5"/>
    </row>
    <row r="57" spans="1:21" x14ac:dyDescent="0.25">
      <c r="A57" s="4" t="s">
        <v>9</v>
      </c>
      <c r="B57" s="6"/>
      <c r="C57" s="6"/>
      <c r="D57" s="6"/>
      <c r="E57" s="6"/>
      <c r="F57" s="6"/>
      <c r="G57" s="5"/>
      <c r="H57" s="5"/>
      <c r="I57" s="6"/>
      <c r="J57" s="6"/>
      <c r="K57" s="6"/>
      <c r="L57" s="6"/>
      <c r="M57" s="6"/>
      <c r="N57" s="5"/>
    </row>
    <row r="58" spans="1:21" x14ac:dyDescent="0.25">
      <c r="A58" s="3" t="s">
        <v>57</v>
      </c>
      <c r="B58" s="6"/>
      <c r="C58" s="6"/>
      <c r="D58" s="6"/>
      <c r="E58" s="6"/>
      <c r="F58" s="6"/>
      <c r="G58" s="5"/>
      <c r="H58" s="5"/>
      <c r="I58" s="6"/>
      <c r="J58" s="6"/>
      <c r="K58" s="6"/>
      <c r="L58" s="6"/>
      <c r="M58" s="6"/>
      <c r="N58" s="5"/>
    </row>
    <row r="59" spans="1:21" x14ac:dyDescent="0.25">
      <c r="A59" s="3" t="s">
        <v>58</v>
      </c>
      <c r="B59" s="6"/>
      <c r="C59" s="6"/>
      <c r="D59" s="6"/>
      <c r="E59" s="6"/>
      <c r="F59" s="6"/>
      <c r="G59" s="5"/>
      <c r="H59" s="5"/>
      <c r="I59" s="6"/>
      <c r="J59" s="6"/>
      <c r="K59" s="6"/>
      <c r="L59" s="6"/>
      <c r="M59" s="6"/>
      <c r="N59" s="5"/>
    </row>
    <row r="60" spans="1:21" x14ac:dyDescent="0.25">
      <c r="A60" s="3" t="s">
        <v>59</v>
      </c>
      <c r="B60" s="6"/>
      <c r="C60" s="6"/>
      <c r="D60" s="6"/>
      <c r="E60" s="6"/>
      <c r="F60" s="6"/>
      <c r="G60" s="5"/>
      <c r="H60" s="5"/>
      <c r="I60" s="6"/>
      <c r="J60" s="6"/>
      <c r="K60" s="6"/>
      <c r="L60" s="6"/>
      <c r="M60" s="6"/>
      <c r="N60" s="5"/>
      <c r="Q60" s="2">
        <v>1650</v>
      </c>
    </row>
    <row r="61" spans="1:21" x14ac:dyDescent="0.25">
      <c r="A61" s="3" t="s">
        <v>53</v>
      </c>
      <c r="B61" s="6"/>
      <c r="C61" s="6"/>
      <c r="D61" s="6"/>
      <c r="E61" s="6"/>
      <c r="F61" s="6"/>
      <c r="G61" s="5"/>
      <c r="H61" s="5"/>
      <c r="I61" s="6"/>
      <c r="J61" s="6"/>
      <c r="K61" s="6"/>
      <c r="L61" s="6"/>
      <c r="M61" s="6"/>
      <c r="N61" s="5"/>
      <c r="Q61" s="2">
        <v>280</v>
      </c>
    </row>
    <row r="62" spans="1:21" x14ac:dyDescent="0.25">
      <c r="A62" s="3" t="s">
        <v>60</v>
      </c>
      <c r="B62" s="6"/>
      <c r="C62" s="6"/>
      <c r="D62" s="6"/>
      <c r="E62" s="6"/>
      <c r="F62" s="6"/>
      <c r="G62" s="5"/>
      <c r="H62" s="5"/>
      <c r="I62" s="6"/>
      <c r="J62" s="6"/>
      <c r="K62" s="6"/>
      <c r="L62" s="6"/>
      <c r="M62" s="6"/>
      <c r="N62" s="5"/>
      <c r="Q62" s="2">
        <v>350</v>
      </c>
    </row>
    <row r="63" spans="1:21" x14ac:dyDescent="0.25">
      <c r="A63" s="3" t="s">
        <v>61</v>
      </c>
      <c r="B63" s="6"/>
      <c r="C63" s="6"/>
      <c r="D63" s="6"/>
      <c r="E63" s="6"/>
      <c r="F63" s="6"/>
      <c r="G63" s="5"/>
      <c r="H63" s="5"/>
      <c r="I63" s="6"/>
      <c r="J63" s="6"/>
      <c r="K63" s="6"/>
      <c r="L63" s="6"/>
      <c r="M63" s="6"/>
      <c r="N63" s="5"/>
      <c r="Q63" s="2">
        <v>200</v>
      </c>
    </row>
    <row r="64" spans="1:21" x14ac:dyDescent="0.25"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Q64" s="2">
        <v>380</v>
      </c>
    </row>
    <row r="65" spans="1:17" x14ac:dyDescent="0.25">
      <c r="A65" s="4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Q65" s="2">
        <v>400</v>
      </c>
    </row>
    <row r="66" spans="1:17" x14ac:dyDescent="0.25"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7" x14ac:dyDescent="0.25">
      <c r="A67" s="4" t="s">
        <v>10</v>
      </c>
      <c r="B67" s="1" t="s">
        <v>113</v>
      </c>
      <c r="C67" s="1" t="s">
        <v>114</v>
      </c>
      <c r="D67" s="1" t="s">
        <v>116</v>
      </c>
      <c r="E67" s="1" t="s">
        <v>115</v>
      </c>
      <c r="F67" s="1" t="s">
        <v>117</v>
      </c>
      <c r="G67" s="9" t="s">
        <v>118</v>
      </c>
      <c r="H67" s="9" t="s">
        <v>119</v>
      </c>
      <c r="I67" s="1" t="s">
        <v>120</v>
      </c>
      <c r="J67" s="1" t="s">
        <v>121</v>
      </c>
      <c r="K67" s="1" t="s">
        <v>122</v>
      </c>
      <c r="L67" s="1" t="s">
        <v>123</v>
      </c>
      <c r="M67" s="1" t="s">
        <v>5</v>
      </c>
      <c r="N67" s="5"/>
    </row>
    <row r="68" spans="1:17" x14ac:dyDescent="0.25">
      <c r="A68" s="3" t="s">
        <v>65</v>
      </c>
      <c r="B68" s="6"/>
      <c r="C68" s="6"/>
      <c r="D68" s="6"/>
      <c r="E68" s="6"/>
      <c r="F68" s="6"/>
      <c r="G68" s="5"/>
      <c r="H68" s="5"/>
      <c r="I68" s="6"/>
      <c r="J68" s="6"/>
      <c r="K68" s="6"/>
      <c r="L68" s="6"/>
      <c r="M68" s="6"/>
      <c r="N68" s="6"/>
    </row>
    <row r="69" spans="1:17" x14ac:dyDescent="0.25">
      <c r="A69" s="3" t="s">
        <v>71</v>
      </c>
      <c r="B69" s="6"/>
      <c r="C69" s="6"/>
      <c r="D69" s="6"/>
      <c r="E69" s="6"/>
      <c r="F69" s="6"/>
      <c r="G69" s="5"/>
      <c r="H69" s="5"/>
      <c r="I69" s="6"/>
      <c r="J69" s="6"/>
      <c r="K69" s="6"/>
      <c r="L69" s="6"/>
      <c r="M69" s="6"/>
      <c r="N69" s="6"/>
    </row>
    <row r="70" spans="1:17" x14ac:dyDescent="0.25">
      <c r="A70" s="3" t="s">
        <v>62</v>
      </c>
      <c r="B70" s="6"/>
      <c r="C70" s="6"/>
      <c r="D70" s="6"/>
      <c r="E70" s="6"/>
      <c r="F70" s="6"/>
      <c r="G70" s="5"/>
      <c r="H70" s="5"/>
      <c r="I70" s="6"/>
      <c r="J70" s="6"/>
      <c r="K70" s="6"/>
      <c r="L70" s="6"/>
      <c r="M70" s="6"/>
      <c r="N70" s="6"/>
    </row>
    <row r="71" spans="1:17" x14ac:dyDescent="0.25">
      <c r="A71" s="3" t="s">
        <v>69</v>
      </c>
      <c r="B71" s="6"/>
      <c r="C71" s="6"/>
      <c r="D71" s="6"/>
      <c r="E71" s="6"/>
      <c r="F71" s="6"/>
      <c r="G71" s="5"/>
      <c r="H71" s="5"/>
      <c r="I71" s="6"/>
      <c r="J71" s="6"/>
      <c r="K71" s="6"/>
      <c r="L71" s="6"/>
      <c r="M71" s="6"/>
      <c r="N71" s="6"/>
    </row>
    <row r="72" spans="1:17" x14ac:dyDescent="0.25">
      <c r="A72" s="3" t="s">
        <v>63</v>
      </c>
      <c r="B72" s="6"/>
      <c r="C72" s="6"/>
      <c r="D72" s="6"/>
      <c r="E72" s="6"/>
      <c r="F72" s="6"/>
      <c r="G72" s="5"/>
      <c r="H72" s="5"/>
      <c r="I72" s="6"/>
      <c r="J72" s="6"/>
      <c r="K72" s="6"/>
      <c r="L72" s="6"/>
      <c r="M72" s="6"/>
      <c r="N72" s="6"/>
    </row>
    <row r="73" spans="1:17" x14ac:dyDescent="0.25">
      <c r="A73" s="3" t="s">
        <v>64</v>
      </c>
      <c r="B73" s="6"/>
      <c r="C73" s="6"/>
      <c r="D73" s="6"/>
      <c r="E73" s="6"/>
      <c r="F73" s="6"/>
      <c r="G73" s="5"/>
      <c r="H73" s="5"/>
      <c r="I73" s="6"/>
      <c r="J73" s="6"/>
      <c r="K73" s="6"/>
      <c r="L73" s="6"/>
      <c r="M73" s="6"/>
      <c r="N73" s="6"/>
    </row>
    <row r="74" spans="1:17" x14ac:dyDescent="0.25">
      <c r="A74" s="3" t="s">
        <v>73</v>
      </c>
      <c r="B74" s="6"/>
      <c r="C74" s="6"/>
      <c r="D74" s="6"/>
      <c r="E74" s="6"/>
      <c r="F74" s="6"/>
      <c r="G74" s="5"/>
      <c r="H74" s="5"/>
      <c r="I74" s="6"/>
      <c r="J74" s="6"/>
      <c r="K74" s="6"/>
      <c r="L74" s="6"/>
      <c r="M74" s="6"/>
      <c r="N74" s="6"/>
    </row>
    <row r="75" spans="1:17" x14ac:dyDescent="0.25">
      <c r="A75" s="3" t="s">
        <v>66</v>
      </c>
      <c r="B75" s="6"/>
      <c r="C75" s="6"/>
      <c r="D75" s="6"/>
      <c r="E75" s="6"/>
      <c r="F75" s="6"/>
      <c r="G75" s="5"/>
      <c r="H75" s="5"/>
      <c r="I75" s="6"/>
      <c r="J75" s="6"/>
      <c r="K75" s="6"/>
      <c r="L75" s="6"/>
      <c r="M75" s="6"/>
      <c r="N75" s="6"/>
    </row>
    <row r="76" spans="1:17" x14ac:dyDescent="0.25">
      <c r="A76" s="3" t="s">
        <v>67</v>
      </c>
      <c r="B76" s="6"/>
      <c r="C76" s="6"/>
      <c r="D76" s="6"/>
      <c r="E76" s="6"/>
      <c r="F76" s="6"/>
      <c r="G76" s="5"/>
      <c r="H76" s="5"/>
      <c r="I76" s="6"/>
      <c r="J76" s="6"/>
      <c r="K76" s="6"/>
      <c r="L76" s="6"/>
      <c r="M76" s="6"/>
      <c r="N76" s="6"/>
    </row>
    <row r="77" spans="1:17" x14ac:dyDescent="0.25">
      <c r="A77" s="3" t="s">
        <v>76</v>
      </c>
      <c r="B77" s="6"/>
      <c r="C77" s="6"/>
      <c r="D77" s="6"/>
      <c r="E77" s="6"/>
      <c r="F77" s="6"/>
      <c r="G77" s="5"/>
      <c r="H77" s="5"/>
      <c r="I77" s="6"/>
      <c r="J77" s="6"/>
      <c r="K77" s="6"/>
      <c r="L77" s="6"/>
      <c r="M77" s="6"/>
      <c r="N77" s="6"/>
    </row>
    <row r="78" spans="1:17" x14ac:dyDescent="0.25">
      <c r="A78" s="3" t="s">
        <v>68</v>
      </c>
      <c r="B78" s="6"/>
      <c r="C78" s="6"/>
      <c r="D78" s="6"/>
      <c r="E78" s="6"/>
      <c r="F78" s="6"/>
      <c r="G78" s="5"/>
      <c r="H78" s="5"/>
      <c r="I78" s="6"/>
      <c r="J78" s="6"/>
      <c r="K78" s="6"/>
      <c r="L78" s="6"/>
      <c r="M78" s="6"/>
      <c r="N78" s="6"/>
    </row>
    <row r="79" spans="1:17" x14ac:dyDescent="0.25">
      <c r="A79" s="3" t="s">
        <v>72</v>
      </c>
      <c r="B79" s="6"/>
      <c r="C79" s="6"/>
      <c r="D79" s="6"/>
      <c r="E79" s="6"/>
      <c r="F79" s="6"/>
      <c r="G79" s="5"/>
      <c r="H79" s="5"/>
      <c r="I79" s="6"/>
      <c r="J79" s="6"/>
      <c r="K79" s="6"/>
      <c r="L79" s="6"/>
      <c r="M79" s="6"/>
      <c r="N79" s="6"/>
    </row>
    <row r="80" spans="1:17" x14ac:dyDescent="0.25">
      <c r="A80" s="3" t="s">
        <v>112</v>
      </c>
      <c r="B80" s="6"/>
      <c r="C80" s="6"/>
      <c r="D80" s="6"/>
      <c r="E80" s="6"/>
      <c r="F80" s="6"/>
      <c r="G80" s="5"/>
      <c r="H80" s="5"/>
      <c r="I80" s="6"/>
      <c r="J80" s="6"/>
      <c r="K80" s="6"/>
      <c r="L80" s="6"/>
      <c r="M80" s="6"/>
      <c r="N80" s="6"/>
    </row>
    <row r="81" spans="1:14" x14ac:dyDescent="0.25">
      <c r="A81" s="3" t="s">
        <v>70</v>
      </c>
      <c r="B81" s="6"/>
      <c r="C81" s="6"/>
      <c r="D81" s="6"/>
      <c r="E81" s="6"/>
      <c r="F81" s="6"/>
      <c r="G81" s="5"/>
      <c r="H81" s="5"/>
      <c r="I81" s="6"/>
      <c r="J81" s="6"/>
      <c r="K81" s="6"/>
      <c r="L81" s="6"/>
      <c r="M81" s="6"/>
      <c r="N81" s="6"/>
    </row>
    <row r="82" spans="1:14" x14ac:dyDescent="0.25">
      <c r="A82" s="3" t="s">
        <v>74</v>
      </c>
      <c r="B82" s="6"/>
      <c r="C82" s="6"/>
      <c r="D82" s="6"/>
      <c r="E82" s="6"/>
      <c r="F82" s="6"/>
      <c r="G82" s="5"/>
      <c r="H82" s="5"/>
      <c r="I82" s="6"/>
      <c r="J82" s="6"/>
      <c r="K82" s="6"/>
      <c r="L82" s="6"/>
      <c r="M82" s="6"/>
      <c r="N82" s="6"/>
    </row>
    <row r="83" spans="1:14" x14ac:dyDescent="0.25">
      <c r="A83" s="3" t="s">
        <v>75</v>
      </c>
      <c r="B83" s="6"/>
      <c r="C83" s="6"/>
      <c r="D83" s="6"/>
      <c r="E83" s="6"/>
      <c r="F83" s="6"/>
      <c r="G83" s="5"/>
      <c r="H83" s="5"/>
      <c r="I83" s="6"/>
      <c r="J83" s="6"/>
      <c r="K83" s="6"/>
      <c r="L83" s="6"/>
      <c r="M83" s="6"/>
      <c r="N83" s="6"/>
    </row>
    <row r="84" spans="1:14" x14ac:dyDescent="0.25">
      <c r="A84" s="3" t="s">
        <v>77</v>
      </c>
      <c r="B84" s="6"/>
      <c r="C84" s="6"/>
      <c r="D84" s="6"/>
      <c r="E84" s="6"/>
      <c r="F84" s="6"/>
      <c r="G84" s="5"/>
      <c r="H84" s="5"/>
      <c r="I84" s="6"/>
      <c r="J84" s="6"/>
      <c r="K84" s="6"/>
      <c r="L84" s="6"/>
      <c r="M84" s="6"/>
      <c r="N84" s="6"/>
    </row>
    <row r="85" spans="1:14" x14ac:dyDescent="0.25">
      <c r="B85" s="6"/>
      <c r="C85" s="6"/>
      <c r="D85" s="6"/>
      <c r="E85" s="6"/>
      <c r="F85" s="6"/>
      <c r="G85" s="5"/>
      <c r="H85" s="5"/>
      <c r="I85" s="6"/>
      <c r="J85" s="6"/>
      <c r="K85" s="6"/>
      <c r="L85" s="6"/>
      <c r="M85" s="6"/>
      <c r="N85" s="6"/>
    </row>
    <row r="86" spans="1:14" x14ac:dyDescent="0.25">
      <c r="A86" s="4" t="s">
        <v>78</v>
      </c>
      <c r="B86" s="6"/>
      <c r="C86" s="6"/>
      <c r="D86" s="6"/>
      <c r="E86" s="6"/>
      <c r="F86" s="6"/>
      <c r="G86" s="5"/>
      <c r="H86" s="5"/>
      <c r="I86" s="6"/>
      <c r="J86" s="6"/>
      <c r="K86" s="6"/>
      <c r="L86" s="6"/>
      <c r="M86" s="6"/>
      <c r="N86" s="6"/>
    </row>
    <row r="87" spans="1:14" x14ac:dyDescent="0.25">
      <c r="A87" s="3" t="s">
        <v>79</v>
      </c>
      <c r="B87" s="6"/>
      <c r="C87" s="6"/>
      <c r="D87" s="6"/>
      <c r="E87" s="6"/>
      <c r="F87" s="6"/>
      <c r="G87" s="5"/>
      <c r="H87" s="5"/>
      <c r="I87" s="6"/>
      <c r="J87" s="6"/>
      <c r="K87" s="6"/>
      <c r="L87" s="6"/>
      <c r="M87" s="6"/>
      <c r="N87" s="6"/>
    </row>
    <row r="88" spans="1:14" x14ac:dyDescent="0.25">
      <c r="A88" s="3" t="s">
        <v>80</v>
      </c>
      <c r="B88" s="6"/>
      <c r="C88" s="6"/>
      <c r="D88" s="6"/>
      <c r="E88" s="6"/>
      <c r="F88" s="6"/>
      <c r="G88" s="5"/>
      <c r="H88" s="5"/>
      <c r="I88" s="6"/>
      <c r="J88" s="6"/>
      <c r="K88" s="6"/>
      <c r="L88" s="6"/>
      <c r="M88" s="6"/>
      <c r="N88" s="6"/>
    </row>
    <row r="89" spans="1:14" x14ac:dyDescent="0.25">
      <c r="A89" s="3" t="s">
        <v>81</v>
      </c>
      <c r="B89" s="6"/>
      <c r="C89" s="6"/>
      <c r="D89" s="6"/>
      <c r="E89" s="6"/>
      <c r="F89" s="6"/>
      <c r="G89" s="5"/>
      <c r="H89" s="5"/>
      <c r="I89" s="6"/>
      <c r="J89" s="6"/>
      <c r="K89" s="6"/>
      <c r="L89" s="6"/>
      <c r="M89" s="6"/>
      <c r="N89" s="6"/>
    </row>
    <row r="90" spans="1:14" x14ac:dyDescent="0.25">
      <c r="A90" s="3" t="s">
        <v>73</v>
      </c>
      <c r="B90" s="6"/>
      <c r="C90" s="6"/>
      <c r="D90" s="6"/>
      <c r="E90" s="6"/>
      <c r="F90" s="6"/>
      <c r="G90" s="5"/>
      <c r="H90" s="5"/>
      <c r="I90" s="6"/>
      <c r="J90" s="6"/>
      <c r="K90" s="6"/>
      <c r="L90" s="6"/>
      <c r="M90" s="6"/>
      <c r="N90" s="6"/>
    </row>
    <row r="91" spans="1:14" x14ac:dyDescent="0.25">
      <c r="A91" s="3" t="s">
        <v>82</v>
      </c>
      <c r="B91" s="6"/>
      <c r="C91" s="6"/>
      <c r="D91" s="6"/>
      <c r="E91" s="6"/>
      <c r="F91" s="6"/>
      <c r="G91" s="5"/>
      <c r="H91" s="5"/>
      <c r="I91" s="6"/>
      <c r="J91" s="6"/>
      <c r="K91" s="6"/>
      <c r="L91" s="6"/>
      <c r="M91" s="6"/>
      <c r="N91" s="6"/>
    </row>
    <row r="92" spans="1:14" x14ac:dyDescent="0.25">
      <c r="A92" s="3" t="s">
        <v>83</v>
      </c>
      <c r="B92" s="6"/>
      <c r="C92" s="6"/>
      <c r="D92" s="6"/>
      <c r="E92" s="6"/>
      <c r="F92" s="6"/>
      <c r="G92" s="5"/>
      <c r="H92" s="5"/>
      <c r="I92" s="6"/>
      <c r="J92" s="6"/>
      <c r="K92" s="6"/>
      <c r="L92" s="6"/>
      <c r="M92" s="6"/>
      <c r="N92" s="6"/>
    </row>
    <row r="93" spans="1:14" x14ac:dyDescent="0.25">
      <c r="A93" s="3" t="s">
        <v>84</v>
      </c>
      <c r="B93" s="6"/>
      <c r="C93" s="6"/>
      <c r="D93" s="6"/>
      <c r="E93" s="6"/>
      <c r="F93" s="6"/>
      <c r="G93" s="5"/>
      <c r="H93" s="5"/>
      <c r="I93" s="6"/>
      <c r="J93" s="6"/>
      <c r="K93" s="6"/>
      <c r="L93" s="6"/>
      <c r="M93" s="6"/>
      <c r="N93" s="6"/>
    </row>
    <row r="94" spans="1:14" ht="5.25" customHeight="1" x14ac:dyDescent="0.25">
      <c r="B94" s="6"/>
      <c r="C94" s="6"/>
      <c r="D94" s="6"/>
      <c r="E94" s="6"/>
      <c r="F94" s="6"/>
      <c r="G94" s="5"/>
      <c r="H94" s="5"/>
      <c r="I94" s="6"/>
      <c r="J94" s="6"/>
      <c r="K94" s="6"/>
      <c r="L94" s="6"/>
      <c r="M94" s="6"/>
      <c r="N94" s="6"/>
    </row>
    <row r="95" spans="1:14" x14ac:dyDescent="0.25">
      <c r="A95" s="4" t="s">
        <v>85</v>
      </c>
      <c r="B95" s="6"/>
      <c r="C95" s="6"/>
      <c r="D95" s="6"/>
      <c r="E95" s="6"/>
      <c r="F95" s="6"/>
      <c r="G95" s="5"/>
      <c r="H95" s="5"/>
      <c r="I95" s="6"/>
      <c r="J95" s="6"/>
      <c r="K95" s="6"/>
      <c r="L95" s="6"/>
      <c r="M95" s="6"/>
      <c r="N95" s="6"/>
    </row>
    <row r="96" spans="1:14" x14ac:dyDescent="0.25">
      <c r="A96" s="3" t="s">
        <v>86</v>
      </c>
      <c r="B96" s="6"/>
      <c r="C96" s="6"/>
      <c r="D96" s="6"/>
      <c r="E96" s="6"/>
      <c r="F96" s="6"/>
      <c r="G96" s="5"/>
      <c r="H96" s="5"/>
      <c r="I96" s="6"/>
      <c r="J96" s="6"/>
      <c r="K96" s="6"/>
      <c r="L96" s="6"/>
      <c r="M96" s="6"/>
      <c r="N96" s="6"/>
    </row>
    <row r="97" spans="1:19" x14ac:dyDescent="0.25">
      <c r="A97" s="3" t="s">
        <v>94</v>
      </c>
      <c r="B97" s="6"/>
      <c r="C97" s="6"/>
      <c r="D97" s="6"/>
      <c r="E97" s="6"/>
      <c r="F97" s="6"/>
      <c r="G97" s="5"/>
      <c r="H97" s="5"/>
      <c r="I97" s="6"/>
      <c r="J97" s="6"/>
      <c r="K97" s="6"/>
      <c r="L97" s="6"/>
      <c r="M97" s="6"/>
      <c r="N97" s="6"/>
    </row>
    <row r="98" spans="1:19" x14ac:dyDescent="0.25">
      <c r="A98" s="3" t="s">
        <v>87</v>
      </c>
      <c r="B98" s="6"/>
      <c r="C98" s="6"/>
      <c r="D98" s="6"/>
      <c r="E98" s="6"/>
      <c r="F98" s="6"/>
      <c r="G98" s="5"/>
      <c r="H98" s="5"/>
      <c r="I98" s="6"/>
      <c r="J98" s="6"/>
      <c r="K98" s="6"/>
      <c r="L98" s="6"/>
      <c r="M98" s="6"/>
      <c r="N98" s="6"/>
    </row>
    <row r="99" spans="1:19" x14ac:dyDescent="0.25">
      <c r="A99" s="3" t="s">
        <v>95</v>
      </c>
      <c r="B99" s="6"/>
      <c r="C99" s="6"/>
      <c r="D99" s="6"/>
      <c r="E99" s="6"/>
      <c r="F99" s="6"/>
      <c r="G99" s="5"/>
      <c r="H99" s="5"/>
      <c r="I99" s="6"/>
      <c r="J99" s="6"/>
      <c r="K99" s="6"/>
      <c r="L99" s="6"/>
      <c r="M99" s="6"/>
      <c r="N99" s="6"/>
    </row>
    <row r="100" spans="1:19" x14ac:dyDescent="0.25">
      <c r="A100" s="3" t="s">
        <v>88</v>
      </c>
      <c r="B100" s="6"/>
      <c r="C100" s="6"/>
      <c r="D100" s="6"/>
      <c r="E100" s="6"/>
      <c r="F100" s="6"/>
      <c r="G100" s="5"/>
      <c r="H100" s="5"/>
      <c r="I100" s="6"/>
      <c r="J100" s="6"/>
      <c r="K100" s="6"/>
      <c r="L100" s="6"/>
      <c r="M100" s="6"/>
      <c r="N100" s="6"/>
    </row>
    <row r="101" spans="1:19" x14ac:dyDescent="0.25">
      <c r="A101" s="4" t="s">
        <v>85</v>
      </c>
      <c r="B101" s="1" t="s">
        <v>113</v>
      </c>
      <c r="C101" s="1" t="s">
        <v>114</v>
      </c>
      <c r="D101" s="1" t="s">
        <v>116</v>
      </c>
      <c r="E101" s="1" t="s">
        <v>115</v>
      </c>
      <c r="F101" s="1" t="s">
        <v>117</v>
      </c>
      <c r="G101" s="9" t="s">
        <v>118</v>
      </c>
      <c r="H101" s="9" t="s">
        <v>119</v>
      </c>
      <c r="I101" s="1" t="s">
        <v>120</v>
      </c>
      <c r="J101" s="1" t="s">
        <v>121</v>
      </c>
      <c r="K101" s="1" t="s">
        <v>122</v>
      </c>
      <c r="L101" s="1" t="s">
        <v>123</v>
      </c>
      <c r="M101" s="1" t="s">
        <v>5</v>
      </c>
      <c r="N101" s="6"/>
    </row>
    <row r="102" spans="1:19" x14ac:dyDescent="0.25">
      <c r="A102" s="3" t="s">
        <v>89</v>
      </c>
      <c r="B102" s="6"/>
      <c r="C102" s="6"/>
      <c r="D102" s="6"/>
      <c r="E102" s="6"/>
      <c r="F102" s="6"/>
      <c r="G102" s="5"/>
      <c r="H102" s="5"/>
      <c r="I102" s="6"/>
      <c r="J102" s="6"/>
      <c r="K102" s="6"/>
      <c r="L102" s="6"/>
      <c r="M102" s="6"/>
      <c r="N102" s="6"/>
    </row>
    <row r="103" spans="1:19" x14ac:dyDescent="0.25">
      <c r="A103" s="3" t="s">
        <v>96</v>
      </c>
      <c r="B103" s="6"/>
      <c r="C103" s="6"/>
      <c r="D103" s="6"/>
      <c r="E103" s="6"/>
      <c r="F103" s="6"/>
      <c r="G103" s="5"/>
      <c r="H103" s="5"/>
      <c r="I103" s="6"/>
      <c r="J103" s="6"/>
      <c r="K103" s="6"/>
      <c r="L103" s="6"/>
      <c r="M103" s="6"/>
      <c r="N103" s="6"/>
      <c r="S103" s="2">
        <v>380</v>
      </c>
    </row>
    <row r="104" spans="1:19" x14ac:dyDescent="0.25">
      <c r="A104" s="3" t="s">
        <v>90</v>
      </c>
      <c r="B104" s="6"/>
      <c r="C104" s="6"/>
      <c r="D104" s="6"/>
      <c r="E104" s="6"/>
      <c r="F104" s="6"/>
      <c r="G104" s="5"/>
      <c r="H104" s="5"/>
      <c r="I104" s="6"/>
      <c r="J104" s="6"/>
      <c r="K104" s="6"/>
      <c r="L104" s="6"/>
      <c r="M104" s="6"/>
      <c r="N104" s="6"/>
      <c r="S104" s="2">
        <v>350</v>
      </c>
    </row>
    <row r="105" spans="1:19" x14ac:dyDescent="0.25">
      <c r="A105" s="3" t="s">
        <v>91</v>
      </c>
      <c r="B105" s="6"/>
      <c r="C105" s="6"/>
      <c r="D105" s="6"/>
      <c r="E105" s="6"/>
      <c r="F105" s="6"/>
      <c r="G105" s="5"/>
      <c r="H105" s="5"/>
      <c r="I105" s="6"/>
      <c r="J105" s="6"/>
      <c r="K105" s="6"/>
      <c r="L105" s="6"/>
      <c r="M105" s="6"/>
      <c r="N105" s="6"/>
      <c r="S105" s="2">
        <v>300</v>
      </c>
    </row>
    <row r="106" spans="1:19" x14ac:dyDescent="0.25">
      <c r="A106" s="3" t="s">
        <v>92</v>
      </c>
      <c r="B106" s="6"/>
      <c r="C106" s="6"/>
      <c r="D106" s="6"/>
      <c r="E106" s="6"/>
      <c r="F106" s="6"/>
      <c r="G106" s="5"/>
      <c r="H106" s="5"/>
      <c r="I106" s="6"/>
      <c r="J106" s="6"/>
      <c r="K106" s="6"/>
      <c r="L106" s="6"/>
      <c r="M106" s="6"/>
      <c r="N106" s="6"/>
      <c r="S106" s="2">
        <v>70</v>
      </c>
    </row>
    <row r="107" spans="1:19" x14ac:dyDescent="0.25">
      <c r="A107" s="3" t="s">
        <v>93</v>
      </c>
      <c r="B107" s="6"/>
      <c r="C107" s="6"/>
      <c r="D107" s="6"/>
      <c r="E107" s="6"/>
      <c r="F107" s="6"/>
      <c r="G107" s="5"/>
      <c r="H107" s="5"/>
      <c r="I107" s="6"/>
      <c r="J107" s="6"/>
      <c r="K107" s="6"/>
      <c r="L107" s="6"/>
      <c r="M107" s="6"/>
      <c r="N107" s="6"/>
      <c r="S107" s="2">
        <v>150</v>
      </c>
    </row>
    <row r="108" spans="1:19" x14ac:dyDescent="0.25">
      <c r="A108" s="3" t="s">
        <v>91</v>
      </c>
      <c r="B108" s="6"/>
      <c r="C108" s="6"/>
      <c r="D108" s="6"/>
      <c r="E108" s="6"/>
      <c r="F108" s="6"/>
      <c r="G108" s="5"/>
      <c r="H108" s="5"/>
      <c r="I108" s="6"/>
      <c r="J108" s="6"/>
      <c r="K108" s="6"/>
      <c r="L108" s="6"/>
      <c r="M108" s="6"/>
      <c r="N108" s="6"/>
      <c r="S108" s="2">
        <v>50</v>
      </c>
    </row>
    <row r="109" spans="1:19" x14ac:dyDescent="0.25">
      <c r="B109" s="6"/>
      <c r="C109" s="6"/>
      <c r="D109" s="6"/>
      <c r="E109" s="6"/>
      <c r="F109" s="6"/>
      <c r="G109" s="5"/>
      <c r="H109" s="5"/>
      <c r="I109" s="6"/>
      <c r="J109" s="6"/>
      <c r="K109" s="6"/>
      <c r="L109" s="6"/>
      <c r="M109" s="6"/>
      <c r="N109" s="6"/>
      <c r="S109" s="2">
        <v>200</v>
      </c>
    </row>
    <row r="110" spans="1:19" x14ac:dyDescent="0.25">
      <c r="A110" s="4" t="s">
        <v>97</v>
      </c>
      <c r="B110" s="6"/>
      <c r="C110" s="6"/>
      <c r="D110" s="6"/>
      <c r="E110" s="6"/>
      <c r="F110" s="6"/>
      <c r="G110" s="5"/>
      <c r="H110" s="5"/>
      <c r="I110" s="6"/>
      <c r="J110" s="6"/>
      <c r="K110" s="6"/>
      <c r="L110" s="6"/>
      <c r="M110" s="6"/>
      <c r="N110" s="6"/>
    </row>
    <row r="111" spans="1:19" x14ac:dyDescent="0.25">
      <c r="A111" s="3" t="s">
        <v>98</v>
      </c>
      <c r="B111" s="6"/>
      <c r="C111" s="6"/>
      <c r="D111" s="6"/>
      <c r="E111" s="6"/>
      <c r="F111" s="6"/>
      <c r="G111" s="5"/>
      <c r="H111" s="5"/>
      <c r="I111" s="6"/>
      <c r="J111" s="6"/>
      <c r="K111" s="6"/>
      <c r="L111" s="6"/>
      <c r="M111" s="6"/>
      <c r="N111" s="6"/>
    </row>
    <row r="112" spans="1:19" x14ac:dyDescent="0.25">
      <c r="A112" s="3" t="s">
        <v>99</v>
      </c>
      <c r="B112" s="6"/>
      <c r="C112" s="6"/>
      <c r="D112" s="6"/>
      <c r="E112" s="6"/>
      <c r="F112" s="6"/>
      <c r="G112" s="5"/>
      <c r="H112" s="5"/>
      <c r="I112" s="6"/>
      <c r="J112" s="6"/>
      <c r="K112" s="6"/>
      <c r="L112" s="6"/>
      <c r="M112" s="6"/>
      <c r="N112" s="6"/>
    </row>
    <row r="113" spans="1:19" x14ac:dyDescent="0.25">
      <c r="A113" s="3" t="s">
        <v>100</v>
      </c>
      <c r="B113" s="6"/>
      <c r="C113" s="6"/>
      <c r="D113" s="6"/>
      <c r="E113" s="6"/>
      <c r="F113" s="6"/>
      <c r="G113" s="5"/>
      <c r="H113" s="5"/>
      <c r="I113" s="6"/>
      <c r="J113" s="6"/>
      <c r="K113" s="6"/>
      <c r="L113" s="6"/>
      <c r="M113" s="6"/>
      <c r="N113" s="6"/>
      <c r="S113" s="2">
        <v>300</v>
      </c>
    </row>
    <row r="114" spans="1:19" x14ac:dyDescent="0.25">
      <c r="A114" s="3" t="s">
        <v>101</v>
      </c>
      <c r="B114" s="6"/>
      <c r="C114" s="6"/>
      <c r="D114" s="6"/>
      <c r="E114" s="6"/>
      <c r="F114" s="6"/>
      <c r="G114" s="5"/>
      <c r="H114" s="5"/>
      <c r="I114" s="6"/>
      <c r="J114" s="6"/>
      <c r="K114" s="6"/>
      <c r="L114" s="6"/>
      <c r="M114" s="6"/>
      <c r="N114" s="6"/>
      <c r="S114" s="2">
        <v>90</v>
      </c>
    </row>
    <row r="115" spans="1:19" x14ac:dyDescent="0.25">
      <c r="A115" s="3" t="s">
        <v>102</v>
      </c>
      <c r="B115" s="6"/>
      <c r="C115" s="6"/>
      <c r="D115" s="6"/>
      <c r="E115" s="6"/>
      <c r="F115" s="6"/>
      <c r="G115" s="5"/>
      <c r="H115" s="5"/>
      <c r="I115" s="6"/>
      <c r="J115" s="6"/>
      <c r="K115" s="6"/>
      <c r="L115" s="6"/>
      <c r="M115" s="6"/>
      <c r="N115" s="6"/>
      <c r="S115" s="2">
        <v>350</v>
      </c>
    </row>
    <row r="116" spans="1:19" x14ac:dyDescent="0.25">
      <c r="A116" s="3" t="s">
        <v>103</v>
      </c>
      <c r="B116" s="6"/>
      <c r="C116" s="6"/>
      <c r="D116" s="6"/>
      <c r="E116" s="6"/>
      <c r="F116" s="6"/>
      <c r="G116" s="5"/>
      <c r="H116" s="5"/>
      <c r="I116" s="6"/>
      <c r="J116" s="6"/>
      <c r="K116" s="6"/>
      <c r="L116" s="6"/>
      <c r="M116" s="6"/>
      <c r="N116" s="6"/>
      <c r="S116" s="2">
        <v>30</v>
      </c>
    </row>
    <row r="117" spans="1:19" x14ac:dyDescent="0.25">
      <c r="A117" s="3" t="s">
        <v>107</v>
      </c>
      <c r="B117" s="6"/>
      <c r="C117" s="6"/>
      <c r="D117" s="6"/>
      <c r="E117" s="6"/>
      <c r="F117" s="6"/>
      <c r="G117" s="5"/>
      <c r="H117" s="5"/>
      <c r="I117" s="6"/>
      <c r="J117" s="6"/>
      <c r="K117" s="6"/>
      <c r="L117" s="6"/>
      <c r="M117" s="6"/>
      <c r="N117" s="6"/>
      <c r="S117" s="2">
        <v>300</v>
      </c>
    </row>
    <row r="118" spans="1:19" x14ac:dyDescent="0.25">
      <c r="A118" s="3" t="s">
        <v>108</v>
      </c>
      <c r="B118" s="6"/>
      <c r="C118" s="6"/>
      <c r="D118" s="6"/>
      <c r="E118" s="6"/>
      <c r="F118" s="6"/>
      <c r="G118" s="5"/>
      <c r="H118" s="5"/>
      <c r="I118" s="6"/>
      <c r="J118" s="6"/>
      <c r="K118" s="6"/>
      <c r="L118" s="6"/>
      <c r="M118" s="6"/>
      <c r="N118" s="6"/>
    </row>
    <row r="119" spans="1:19" x14ac:dyDescent="0.25">
      <c r="A119" s="3" t="s">
        <v>104</v>
      </c>
      <c r="B119" s="6"/>
      <c r="C119" s="6"/>
      <c r="D119" s="6"/>
      <c r="E119" s="6"/>
      <c r="F119" s="6"/>
      <c r="G119" s="5"/>
      <c r="H119" s="5"/>
      <c r="I119" s="6"/>
      <c r="J119" s="6"/>
      <c r="K119" s="6"/>
      <c r="L119" s="6"/>
      <c r="M119" s="6"/>
      <c r="N119" s="6"/>
    </row>
    <row r="120" spans="1:19" x14ac:dyDescent="0.25">
      <c r="A120" s="3" t="s">
        <v>109</v>
      </c>
      <c r="B120" s="6"/>
      <c r="C120" s="6"/>
      <c r="D120" s="6"/>
      <c r="E120" s="6"/>
      <c r="F120" s="6"/>
      <c r="G120" s="5"/>
      <c r="H120" s="5"/>
      <c r="I120" s="6"/>
      <c r="J120" s="6"/>
      <c r="K120" s="6"/>
      <c r="L120" s="6"/>
      <c r="M120" s="6"/>
      <c r="N120" s="6"/>
    </row>
    <row r="121" spans="1:19" x14ac:dyDescent="0.25">
      <c r="A121" s="3" t="s">
        <v>105</v>
      </c>
      <c r="B121" s="6"/>
      <c r="C121" s="6"/>
      <c r="D121" s="6"/>
      <c r="E121" s="6"/>
      <c r="F121" s="6"/>
      <c r="G121" s="5"/>
      <c r="H121" s="5"/>
      <c r="I121" s="6"/>
      <c r="J121" s="6"/>
      <c r="K121" s="6"/>
      <c r="L121" s="6"/>
      <c r="M121" s="6"/>
      <c r="N121" s="6"/>
    </row>
    <row r="122" spans="1:19" x14ac:dyDescent="0.25">
      <c r="A122" s="3" t="s">
        <v>106</v>
      </c>
      <c r="B122" s="6"/>
      <c r="C122" s="6"/>
      <c r="D122" s="6"/>
      <c r="E122" s="6"/>
      <c r="F122" s="6"/>
      <c r="G122" s="5"/>
      <c r="H122" s="5"/>
      <c r="I122" s="6"/>
      <c r="J122" s="6">
        <v>2045</v>
      </c>
      <c r="K122" s="6"/>
      <c r="L122" s="6"/>
      <c r="M122" s="6"/>
      <c r="N122" s="6"/>
      <c r="Q122" s="2">
        <v>250</v>
      </c>
    </row>
    <row r="123" spans="1:19" x14ac:dyDescent="0.25">
      <c r="B123" s="6"/>
      <c r="C123" s="5"/>
      <c r="D123" s="5"/>
      <c r="E123" s="5"/>
      <c r="F123" s="5"/>
      <c r="G123" s="5"/>
      <c r="H123" s="5"/>
      <c r="I123" s="5"/>
      <c r="J123" s="5">
        <v>700</v>
      </c>
      <c r="K123" s="5"/>
      <c r="L123" s="5"/>
      <c r="M123" s="5"/>
      <c r="N123" s="5"/>
      <c r="Q123" s="2">
        <v>70</v>
      </c>
    </row>
    <row r="124" spans="1:19" x14ac:dyDescent="0.25">
      <c r="B124" s="6"/>
      <c r="C124" s="5"/>
      <c r="D124" s="5"/>
      <c r="E124" s="5"/>
      <c r="F124" s="5"/>
      <c r="G124" s="5"/>
      <c r="H124" s="5"/>
      <c r="I124" s="5"/>
      <c r="J124" s="5">
        <v>400</v>
      </c>
      <c r="K124" s="5"/>
      <c r="L124" s="5"/>
      <c r="M124" s="5"/>
      <c r="N124" s="5"/>
      <c r="Q124" s="2">
        <v>120</v>
      </c>
      <c r="S124" s="2">
        <v>250</v>
      </c>
    </row>
    <row r="125" spans="1:19" x14ac:dyDescent="0.25">
      <c r="B125" s="6"/>
      <c r="C125" s="5"/>
      <c r="D125" s="5"/>
      <c r="E125" s="5"/>
      <c r="F125" s="5"/>
      <c r="G125" s="5"/>
      <c r="H125" s="5"/>
      <c r="I125" s="5"/>
      <c r="J125" s="5">
        <v>300</v>
      </c>
      <c r="K125" s="5"/>
      <c r="L125" s="5"/>
      <c r="M125" s="5"/>
      <c r="N125" s="5"/>
      <c r="Q125" s="2">
        <v>220</v>
      </c>
      <c r="S125" s="2">
        <v>200</v>
      </c>
    </row>
    <row r="126" spans="1:19" x14ac:dyDescent="0.25">
      <c r="B126" s="6"/>
      <c r="C126" s="5"/>
      <c r="D126" s="5"/>
      <c r="E126" s="5"/>
      <c r="F126" s="5"/>
      <c r="G126" s="5"/>
      <c r="H126" s="5"/>
      <c r="I126" s="5"/>
      <c r="J126" s="5">
        <v>300</v>
      </c>
      <c r="K126" s="5"/>
      <c r="L126" s="5"/>
      <c r="M126" s="5"/>
      <c r="N126" s="5"/>
      <c r="Q126" s="2">
        <v>480</v>
      </c>
      <c r="S126" s="2">
        <v>200</v>
      </c>
    </row>
    <row r="127" spans="1:19" x14ac:dyDescent="0.25"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Q127" s="2">
        <v>200</v>
      </c>
      <c r="S127" s="2">
        <v>300</v>
      </c>
    </row>
    <row r="128" spans="1:19" x14ac:dyDescent="0.25"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S128" s="2">
        <v>200</v>
      </c>
    </row>
    <row r="129" spans="2:19" x14ac:dyDescent="0.25"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S129" s="2">
        <v>380</v>
      </c>
    </row>
    <row r="130" spans="2:19" x14ac:dyDescent="0.25"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S130" s="2">
        <v>380</v>
      </c>
    </row>
    <row r="131" spans="2:19" x14ac:dyDescent="0.25"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S131" s="2">
        <v>80</v>
      </c>
    </row>
    <row r="132" spans="2:19" x14ac:dyDescent="0.25"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S132" s="2">
        <v>150</v>
      </c>
    </row>
    <row r="133" spans="2:19" x14ac:dyDescent="0.25"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2:19" x14ac:dyDescent="0.25"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2:19" x14ac:dyDescent="0.25">
      <c r="B135" s="6"/>
      <c r="C135" s="5"/>
      <c r="D135" s="5"/>
      <c r="E135" s="5"/>
      <c r="F135" s="5"/>
      <c r="G135" s="7"/>
      <c r="H135" s="7"/>
      <c r="I135" s="5"/>
      <c r="J135" s="5"/>
      <c r="K135" s="5"/>
      <c r="L135" s="5"/>
      <c r="M135" s="5"/>
      <c r="N135" s="5"/>
    </row>
    <row r="136" spans="2:19" x14ac:dyDescent="0.25">
      <c r="B136" s="6"/>
      <c r="C136" s="5"/>
      <c r="D136" s="5"/>
      <c r="E136" s="5"/>
      <c r="F136" s="5"/>
      <c r="G136" s="7"/>
      <c r="H136" s="7"/>
      <c r="I136" s="5"/>
      <c r="J136" s="5"/>
      <c r="K136" s="5"/>
      <c r="L136" s="5"/>
      <c r="M136" s="5"/>
      <c r="N136" s="5"/>
    </row>
    <row r="137" spans="2:19" x14ac:dyDescent="0.25">
      <c r="B137" s="6"/>
      <c r="C137" s="5"/>
      <c r="D137" s="5"/>
      <c r="E137" s="5"/>
      <c r="F137" s="5"/>
      <c r="G137" s="7"/>
      <c r="H137" s="7"/>
      <c r="I137" s="5"/>
      <c r="J137" s="5"/>
      <c r="K137" s="5"/>
      <c r="L137" s="5"/>
      <c r="M137" s="5"/>
      <c r="N137" s="5"/>
    </row>
    <row r="138" spans="2:19" x14ac:dyDescent="0.25">
      <c r="B138" s="6"/>
      <c r="C138" s="5"/>
      <c r="D138" s="5"/>
      <c r="E138" s="5"/>
      <c r="F138" s="5"/>
      <c r="G138" s="7"/>
      <c r="H138" s="7"/>
      <c r="I138" s="5"/>
      <c r="J138" s="5"/>
      <c r="K138" s="5"/>
      <c r="L138" s="5"/>
      <c r="M138" s="5">
        <v>380</v>
      </c>
      <c r="N138" s="5"/>
    </row>
    <row r="139" spans="2:19" x14ac:dyDescent="0.25">
      <c r="B139" s="6"/>
      <c r="C139" s="5"/>
      <c r="D139" s="5"/>
      <c r="E139" s="5"/>
      <c r="F139" s="5"/>
      <c r="G139" s="7"/>
      <c r="H139" s="7"/>
      <c r="I139" s="5"/>
      <c r="J139" s="5"/>
      <c r="K139" s="5"/>
      <c r="L139" s="5"/>
      <c r="M139" s="5">
        <v>350</v>
      </c>
      <c r="N139" s="5"/>
    </row>
    <row r="140" spans="2:19" x14ac:dyDescent="0.25">
      <c r="B140" s="6"/>
      <c r="C140" s="5"/>
      <c r="D140" s="5"/>
      <c r="E140" s="5"/>
      <c r="F140" s="5"/>
      <c r="G140" s="7"/>
      <c r="H140" s="7"/>
      <c r="I140" s="5"/>
      <c r="J140" s="5"/>
      <c r="K140" s="5"/>
      <c r="L140" s="5"/>
      <c r="M140" s="5">
        <v>200</v>
      </c>
      <c r="N140" s="5"/>
      <c r="O140" s="2">
        <v>300</v>
      </c>
    </row>
    <row r="141" spans="2:19" x14ac:dyDescent="0.25">
      <c r="B141" s="6"/>
      <c r="C141" s="5"/>
      <c r="D141" s="5"/>
      <c r="E141" s="5"/>
      <c r="F141" s="5"/>
      <c r="G141" s="7"/>
      <c r="H141" s="7"/>
      <c r="I141" s="5"/>
      <c r="J141" s="5"/>
      <c r="K141" s="5"/>
      <c r="L141" s="5"/>
      <c r="M141" s="5">
        <v>1850</v>
      </c>
      <c r="N141" s="5"/>
      <c r="O141" s="2">
        <v>85</v>
      </c>
    </row>
    <row r="142" spans="2:19" x14ac:dyDescent="0.25">
      <c r="B142" s="6"/>
      <c r="C142" s="5"/>
      <c r="D142" s="5"/>
      <c r="E142" s="5"/>
      <c r="F142" s="5"/>
      <c r="G142" s="7"/>
      <c r="H142" s="7"/>
      <c r="I142" s="5"/>
      <c r="J142" s="5"/>
      <c r="K142" s="5"/>
      <c r="L142" s="5"/>
      <c r="M142" s="5">
        <v>300</v>
      </c>
      <c r="N142" s="5"/>
      <c r="O142" s="2">
        <v>180</v>
      </c>
    </row>
    <row r="143" spans="2:19" x14ac:dyDescent="0.25">
      <c r="B143" s="6"/>
      <c r="C143" s="5"/>
      <c r="D143" s="5"/>
      <c r="E143" s="5"/>
      <c r="F143" s="5"/>
      <c r="G143" s="7"/>
      <c r="H143" s="7"/>
      <c r="I143" s="5"/>
      <c r="J143" s="5"/>
      <c r="K143" s="5"/>
      <c r="L143" s="5"/>
      <c r="M143" s="5"/>
      <c r="N143" s="5"/>
      <c r="O143" s="2">
        <v>50</v>
      </c>
    </row>
    <row r="144" spans="2:19" x14ac:dyDescent="0.25">
      <c r="B144" s="6"/>
      <c r="C144" s="5"/>
      <c r="D144" s="5"/>
      <c r="E144" s="5"/>
      <c r="F144" s="5"/>
      <c r="G144" s="7"/>
      <c r="H144" s="7"/>
      <c r="I144" s="5"/>
      <c r="J144" s="5"/>
      <c r="K144" s="5"/>
      <c r="L144" s="5"/>
      <c r="M144" s="5"/>
      <c r="N144" s="5"/>
      <c r="O144" s="2">
        <v>100</v>
      </c>
    </row>
    <row r="148" spans="13:15" x14ac:dyDescent="0.25">
      <c r="O148" s="2">
        <f>SUM(O140:O147)</f>
        <v>715</v>
      </c>
    </row>
    <row r="150" spans="13:15" x14ac:dyDescent="0.25">
      <c r="M150" s="5">
        <f>SUM(M138:M149)</f>
        <v>3080</v>
      </c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AC63"/>
  <sheetViews>
    <sheetView workbookViewId="0">
      <selection activeCell="K50" sqref="K50"/>
    </sheetView>
  </sheetViews>
  <sheetFormatPr defaultRowHeight="15" x14ac:dyDescent="0.25"/>
  <cols>
    <col min="4" max="4" width="20.85546875" bestFit="1" customWidth="1"/>
    <col min="5" max="5" width="8.85546875" bestFit="1" customWidth="1"/>
    <col min="6" max="6" width="10.5703125" bestFit="1" customWidth="1"/>
    <col min="7" max="7" width="10.85546875" bestFit="1" customWidth="1"/>
    <col min="11" max="11" width="15.7109375" bestFit="1" customWidth="1"/>
  </cols>
  <sheetData>
    <row r="3" spans="2:29" x14ac:dyDescent="0.25">
      <c r="D3" t="s">
        <v>124</v>
      </c>
      <c r="E3" s="10">
        <v>1800</v>
      </c>
    </row>
    <row r="4" spans="2:29" x14ac:dyDescent="0.25">
      <c r="D4" t="s">
        <v>125</v>
      </c>
      <c r="E4" s="10">
        <v>1200</v>
      </c>
      <c r="G4">
        <f>250+150+1440+480+380+200+1200+1680+2170+600</f>
        <v>8550</v>
      </c>
      <c r="I4">
        <v>4000</v>
      </c>
      <c r="J4">
        <v>600</v>
      </c>
      <c r="K4">
        <v>300</v>
      </c>
      <c r="M4" t="s">
        <v>317</v>
      </c>
      <c r="O4" t="s">
        <v>318</v>
      </c>
      <c r="Y4">
        <v>660</v>
      </c>
    </row>
    <row r="5" spans="2:29" x14ac:dyDescent="0.25">
      <c r="D5" t="s">
        <v>126</v>
      </c>
      <c r="E5" s="10">
        <v>380</v>
      </c>
      <c r="I5">
        <v>350</v>
      </c>
      <c r="M5">
        <v>850</v>
      </c>
      <c r="Y5">
        <v>250</v>
      </c>
    </row>
    <row r="6" spans="2:29" x14ac:dyDescent="0.25">
      <c r="D6" t="s">
        <v>127</v>
      </c>
      <c r="E6" s="10">
        <v>350</v>
      </c>
      <c r="H6">
        <v>2820</v>
      </c>
      <c r="I6">
        <v>70</v>
      </c>
      <c r="M6">
        <v>260</v>
      </c>
      <c r="P6">
        <v>200</v>
      </c>
      <c r="R6">
        <v>650</v>
      </c>
      <c r="V6">
        <v>580</v>
      </c>
      <c r="Y6">
        <v>580</v>
      </c>
    </row>
    <row r="7" spans="2:29" x14ac:dyDescent="0.25">
      <c r="B7">
        <v>2650</v>
      </c>
      <c r="D7" t="s">
        <v>128</v>
      </c>
      <c r="E7" s="10">
        <v>280</v>
      </c>
      <c r="H7">
        <v>760</v>
      </c>
      <c r="I7">
        <v>300</v>
      </c>
      <c r="M7">
        <v>200</v>
      </c>
      <c r="V7">
        <v>450</v>
      </c>
      <c r="Y7">
        <v>480</v>
      </c>
    </row>
    <row r="8" spans="2:29" x14ac:dyDescent="0.25">
      <c r="B8">
        <v>2800</v>
      </c>
      <c r="D8" t="s">
        <v>129</v>
      </c>
      <c r="E8" s="10">
        <v>80</v>
      </c>
      <c r="G8">
        <v>300</v>
      </c>
      <c r="H8">
        <v>980</v>
      </c>
      <c r="I8">
        <v>40</v>
      </c>
      <c r="L8">
        <v>300</v>
      </c>
      <c r="V8">
        <v>1280</v>
      </c>
      <c r="Y8">
        <v>1070</v>
      </c>
    </row>
    <row r="9" spans="2:29" x14ac:dyDescent="0.25">
      <c r="B9">
        <v>750</v>
      </c>
      <c r="D9" t="s">
        <v>130</v>
      </c>
      <c r="E9" s="10">
        <v>120</v>
      </c>
      <c r="G9">
        <v>85</v>
      </c>
      <c r="H9">
        <v>450</v>
      </c>
      <c r="I9">
        <v>1000</v>
      </c>
      <c r="J9">
        <v>300</v>
      </c>
      <c r="L9">
        <v>85</v>
      </c>
      <c r="V9">
        <v>4820</v>
      </c>
      <c r="Y9">
        <v>390</v>
      </c>
    </row>
    <row r="10" spans="2:29" x14ac:dyDescent="0.25">
      <c r="B10">
        <v>300</v>
      </c>
      <c r="D10" t="s">
        <v>131</v>
      </c>
      <c r="E10" s="10">
        <v>50</v>
      </c>
      <c r="G10">
        <v>180</v>
      </c>
      <c r="H10">
        <v>200</v>
      </c>
      <c r="J10">
        <v>85</v>
      </c>
      <c r="L10">
        <v>180</v>
      </c>
      <c r="M10">
        <f>SUM(M4:M9)</f>
        <v>1310</v>
      </c>
      <c r="V10">
        <v>400</v>
      </c>
      <c r="X10">
        <v>1980</v>
      </c>
      <c r="Y10">
        <v>240</v>
      </c>
    </row>
    <row r="11" spans="2:29" x14ac:dyDescent="0.25">
      <c r="B11">
        <v>620</v>
      </c>
      <c r="D11" t="s">
        <v>132</v>
      </c>
      <c r="E11" s="10">
        <v>570</v>
      </c>
      <c r="G11">
        <v>220</v>
      </c>
      <c r="H11">
        <v>580</v>
      </c>
      <c r="J11">
        <v>180</v>
      </c>
      <c r="L11">
        <v>220</v>
      </c>
      <c r="T11">
        <v>510</v>
      </c>
      <c r="X11">
        <v>1260</v>
      </c>
      <c r="Y11">
        <v>120</v>
      </c>
    </row>
    <row r="12" spans="2:29" x14ac:dyDescent="0.25">
      <c r="B12">
        <v>400</v>
      </c>
      <c r="D12" t="s">
        <v>132</v>
      </c>
      <c r="E12" s="10">
        <v>720</v>
      </c>
      <c r="G12">
        <v>100</v>
      </c>
      <c r="H12">
        <v>350</v>
      </c>
      <c r="J12">
        <v>50</v>
      </c>
      <c r="L12">
        <v>100</v>
      </c>
      <c r="T12">
        <v>210</v>
      </c>
      <c r="X12">
        <v>440</v>
      </c>
      <c r="Y12">
        <v>330</v>
      </c>
    </row>
    <row r="13" spans="2:29" x14ac:dyDescent="0.25">
      <c r="I13">
        <f>SUM(I4:I12)</f>
        <v>5760</v>
      </c>
      <c r="J13">
        <v>100</v>
      </c>
      <c r="T13">
        <v>320</v>
      </c>
      <c r="X13">
        <v>580</v>
      </c>
      <c r="Y13">
        <v>2260</v>
      </c>
    </row>
    <row r="14" spans="2:29" x14ac:dyDescent="0.25">
      <c r="B14">
        <f>SUM(B7:B13)</f>
        <v>7520</v>
      </c>
      <c r="D14" t="s">
        <v>133</v>
      </c>
      <c r="E14" s="10">
        <v>50</v>
      </c>
      <c r="G14">
        <f>SUM(G8:G13)</f>
        <v>885</v>
      </c>
      <c r="Q14">
        <v>2485</v>
      </c>
      <c r="T14">
        <v>200</v>
      </c>
      <c r="X14">
        <v>250</v>
      </c>
      <c r="Y14">
        <v>550</v>
      </c>
    </row>
    <row r="15" spans="2:29" x14ac:dyDescent="0.25">
      <c r="D15" t="s">
        <v>134</v>
      </c>
      <c r="E15" s="10">
        <v>100</v>
      </c>
      <c r="O15">
        <v>300</v>
      </c>
      <c r="Q15">
        <v>2260</v>
      </c>
      <c r="V15">
        <v>1380</v>
      </c>
      <c r="X15">
        <v>200</v>
      </c>
      <c r="Y15">
        <v>120</v>
      </c>
      <c r="AC15">
        <v>250</v>
      </c>
    </row>
    <row r="16" spans="2:29" x14ac:dyDescent="0.25">
      <c r="D16" t="s">
        <v>135</v>
      </c>
      <c r="E16" s="10">
        <v>500</v>
      </c>
      <c r="O16">
        <v>85</v>
      </c>
      <c r="Q16">
        <v>1850</v>
      </c>
      <c r="V16">
        <v>950</v>
      </c>
      <c r="X16">
        <v>400</v>
      </c>
      <c r="Y16">
        <v>730</v>
      </c>
      <c r="AC16">
        <v>70</v>
      </c>
    </row>
    <row r="17" spans="2:29" x14ac:dyDescent="0.25">
      <c r="H17">
        <f>SUM(H6:H16)</f>
        <v>6140</v>
      </c>
      <c r="O17">
        <v>180</v>
      </c>
      <c r="Q17">
        <v>400</v>
      </c>
      <c r="V17">
        <v>200</v>
      </c>
      <c r="Y17">
        <v>200</v>
      </c>
      <c r="AC17">
        <v>140</v>
      </c>
    </row>
    <row r="18" spans="2:29" x14ac:dyDescent="0.25">
      <c r="D18" s="61" t="s">
        <v>160</v>
      </c>
      <c r="E18" s="61"/>
      <c r="F18" s="61"/>
      <c r="G18" s="61"/>
      <c r="H18" s="61"/>
      <c r="O18">
        <v>50</v>
      </c>
      <c r="V18">
        <v>200</v>
      </c>
      <c r="Y18">
        <v>1260</v>
      </c>
      <c r="AC18">
        <v>50</v>
      </c>
    </row>
    <row r="19" spans="2:29" x14ac:dyDescent="0.25">
      <c r="E19" s="13" t="s">
        <v>163</v>
      </c>
      <c r="F19" s="13" t="s">
        <v>164</v>
      </c>
      <c r="G19" s="13" t="s">
        <v>165</v>
      </c>
      <c r="I19">
        <f>SUM(I8:I18)</f>
        <v>6800</v>
      </c>
      <c r="L19" s="13" t="s">
        <v>176</v>
      </c>
      <c r="M19" s="13" t="s">
        <v>177</v>
      </c>
      <c r="N19" s="13"/>
      <c r="O19">
        <v>580</v>
      </c>
      <c r="T19">
        <v>200</v>
      </c>
      <c r="V19">
        <v>200</v>
      </c>
      <c r="Y19">
        <v>700</v>
      </c>
      <c r="AC19">
        <v>350</v>
      </c>
    </row>
    <row r="20" spans="2:29" x14ac:dyDescent="0.25">
      <c r="B20">
        <v>200</v>
      </c>
      <c r="D20" t="s">
        <v>161</v>
      </c>
      <c r="E20" s="10">
        <v>200</v>
      </c>
      <c r="F20" s="10">
        <v>500</v>
      </c>
      <c r="G20" s="10">
        <v>0</v>
      </c>
      <c r="H20" s="11">
        <f>SUM(E20:G20)</f>
        <v>700</v>
      </c>
      <c r="K20" t="s">
        <v>178</v>
      </c>
      <c r="L20" s="10"/>
      <c r="M20" s="10">
        <v>60</v>
      </c>
      <c r="N20" s="10"/>
      <c r="O20">
        <v>350</v>
      </c>
      <c r="Q20">
        <f>SUM(Q14:Q19)</f>
        <v>6995</v>
      </c>
      <c r="T20">
        <v>70</v>
      </c>
      <c r="Y20">
        <v>9</v>
      </c>
      <c r="AC20">
        <v>380</v>
      </c>
    </row>
    <row r="21" spans="2:29" x14ac:dyDescent="0.25">
      <c r="B21">
        <v>85</v>
      </c>
      <c r="D21" t="s">
        <v>162</v>
      </c>
      <c r="E21" s="10">
        <v>200</v>
      </c>
      <c r="F21" s="10">
        <v>500</v>
      </c>
      <c r="G21" s="10">
        <v>300</v>
      </c>
      <c r="H21" s="11">
        <f>SUM(E21:G21)</f>
        <v>1000</v>
      </c>
      <c r="K21" t="s">
        <v>179</v>
      </c>
      <c r="L21" s="10"/>
      <c r="M21" s="10">
        <v>20</v>
      </c>
      <c r="N21" s="10"/>
      <c r="O21">
        <v>200</v>
      </c>
      <c r="T21">
        <v>160</v>
      </c>
      <c r="Y21">
        <v>350</v>
      </c>
      <c r="AC21">
        <v>200</v>
      </c>
    </row>
    <row r="22" spans="2:29" x14ac:dyDescent="0.25">
      <c r="B22">
        <v>220</v>
      </c>
      <c r="K22" t="s">
        <v>181</v>
      </c>
      <c r="L22" s="10"/>
      <c r="M22" s="10">
        <v>140</v>
      </c>
      <c r="N22" s="10">
        <f>M22/0.82</f>
        <v>170.73170731707319</v>
      </c>
      <c r="T22">
        <v>220</v>
      </c>
      <c r="Y22">
        <v>150</v>
      </c>
    </row>
    <row r="23" spans="2:29" x14ac:dyDescent="0.25">
      <c r="B23">
        <v>120</v>
      </c>
      <c r="K23" t="s">
        <v>180</v>
      </c>
      <c r="L23" s="10">
        <v>1000</v>
      </c>
      <c r="M23" s="10"/>
      <c r="N23" s="10">
        <f>L23/4.46</f>
        <v>224.2152466367713</v>
      </c>
      <c r="T23">
        <v>200</v>
      </c>
      <c r="Y23">
        <v>250</v>
      </c>
    </row>
    <row r="24" spans="2:29" x14ac:dyDescent="0.25">
      <c r="B24">
        <v>380</v>
      </c>
      <c r="K24" t="s">
        <v>166</v>
      </c>
      <c r="L24" s="10">
        <v>1500</v>
      </c>
      <c r="M24" s="10"/>
      <c r="N24" s="10">
        <f>L24/4.46</f>
        <v>336.32286995515693</v>
      </c>
      <c r="T24">
        <v>380</v>
      </c>
      <c r="Y24">
        <v>670</v>
      </c>
    </row>
    <row r="25" spans="2:29" x14ac:dyDescent="0.25">
      <c r="B25">
        <v>200</v>
      </c>
      <c r="D25" s="61" t="s">
        <v>167</v>
      </c>
      <c r="E25" s="61"/>
      <c r="F25" s="61"/>
      <c r="G25" s="61"/>
      <c r="H25" s="61"/>
      <c r="K25" t="s">
        <v>182</v>
      </c>
      <c r="L25" s="10">
        <v>400</v>
      </c>
      <c r="M25" s="10"/>
      <c r="N25" s="10">
        <f>L25/4.46</f>
        <v>89.686098654708516</v>
      </c>
      <c r="S25">
        <v>1500</v>
      </c>
      <c r="V25">
        <v>850</v>
      </c>
      <c r="Y25">
        <v>500</v>
      </c>
      <c r="AC25">
        <f>SUM(AC15:AC24)</f>
        <v>1440</v>
      </c>
    </row>
    <row r="26" spans="2:29" x14ac:dyDescent="0.25">
      <c r="D26" s="12" t="s">
        <v>175</v>
      </c>
      <c r="F26" s="13" t="s">
        <v>173</v>
      </c>
      <c r="G26" s="13" t="s">
        <v>174</v>
      </c>
      <c r="L26" s="11">
        <f>SUM(L20:L25)</f>
        <v>2900</v>
      </c>
      <c r="M26" s="11">
        <f>SUM(M20:M25)</f>
        <v>220</v>
      </c>
      <c r="N26" s="11">
        <f>SUM(N20:N25)</f>
        <v>820.95592256370992</v>
      </c>
      <c r="S26">
        <v>350</v>
      </c>
      <c r="V26">
        <v>400</v>
      </c>
      <c r="Y26">
        <v>200</v>
      </c>
    </row>
    <row r="27" spans="2:29" x14ac:dyDescent="0.25">
      <c r="D27" t="s">
        <v>168</v>
      </c>
      <c r="E27">
        <v>1</v>
      </c>
      <c r="F27" s="10">
        <v>1200</v>
      </c>
      <c r="G27" s="10">
        <v>300</v>
      </c>
      <c r="H27" s="11">
        <f>F27+G27</f>
        <v>1500</v>
      </c>
      <c r="S27">
        <v>300</v>
      </c>
      <c r="V27">
        <v>1240</v>
      </c>
      <c r="Y27">
        <v>660</v>
      </c>
    </row>
    <row r="28" spans="2:29" x14ac:dyDescent="0.25">
      <c r="D28" t="s">
        <v>169</v>
      </c>
      <c r="E28">
        <v>2</v>
      </c>
      <c r="V28">
        <v>300</v>
      </c>
      <c r="X28">
        <v>300</v>
      </c>
      <c r="Y28">
        <v>330</v>
      </c>
    </row>
    <row r="29" spans="2:29" x14ac:dyDescent="0.25">
      <c r="D29" t="s">
        <v>170</v>
      </c>
      <c r="E29">
        <v>1</v>
      </c>
      <c r="P29">
        <v>300</v>
      </c>
      <c r="V29">
        <v>110</v>
      </c>
      <c r="X29">
        <v>110</v>
      </c>
      <c r="Y29">
        <v>100</v>
      </c>
    </row>
    <row r="30" spans="2:29" x14ac:dyDescent="0.25">
      <c r="D30" t="s">
        <v>171</v>
      </c>
      <c r="P30">
        <v>110</v>
      </c>
      <c r="T30">
        <v>850</v>
      </c>
      <c r="V30">
        <v>480</v>
      </c>
      <c r="X30">
        <v>480</v>
      </c>
      <c r="Y30">
        <v>370</v>
      </c>
    </row>
    <row r="31" spans="2:29" x14ac:dyDescent="0.25">
      <c r="D31" t="s">
        <v>172</v>
      </c>
      <c r="P31">
        <v>480</v>
      </c>
      <c r="T31">
        <v>400</v>
      </c>
      <c r="V31">
        <v>50</v>
      </c>
      <c r="X31">
        <v>50</v>
      </c>
      <c r="Y31">
        <v>650</v>
      </c>
    </row>
    <row r="32" spans="2:29" x14ac:dyDescent="0.25">
      <c r="P32">
        <v>50</v>
      </c>
      <c r="T32">
        <v>1240</v>
      </c>
      <c r="V32">
        <v>400</v>
      </c>
      <c r="X32">
        <v>100</v>
      </c>
      <c r="Y32">
        <v>870</v>
      </c>
    </row>
    <row r="33" spans="2:25" x14ac:dyDescent="0.25">
      <c r="P33">
        <v>100</v>
      </c>
      <c r="Y33">
        <v>350</v>
      </c>
    </row>
    <row r="34" spans="2:25" x14ac:dyDescent="0.25">
      <c r="B34">
        <v>650</v>
      </c>
      <c r="J34">
        <v>420</v>
      </c>
      <c r="Y34">
        <v>970</v>
      </c>
    </row>
    <row r="35" spans="2:25" x14ac:dyDescent="0.25">
      <c r="B35">
        <v>200</v>
      </c>
      <c r="J35">
        <v>450</v>
      </c>
      <c r="L35">
        <v>1980</v>
      </c>
      <c r="N35">
        <v>300</v>
      </c>
      <c r="R35">
        <v>380</v>
      </c>
      <c r="T35">
        <v>400</v>
      </c>
      <c r="Y35">
        <v>310</v>
      </c>
    </row>
    <row r="36" spans="2:25" x14ac:dyDescent="0.25">
      <c r="B36">
        <v>350</v>
      </c>
      <c r="I36">
        <v>400</v>
      </c>
      <c r="J36">
        <v>300</v>
      </c>
      <c r="L36">
        <v>460</v>
      </c>
      <c r="N36">
        <v>80</v>
      </c>
      <c r="R36">
        <v>350</v>
      </c>
      <c r="Y36">
        <v>570</v>
      </c>
    </row>
    <row r="37" spans="2:25" x14ac:dyDescent="0.25">
      <c r="B37">
        <v>160</v>
      </c>
      <c r="I37">
        <v>100</v>
      </c>
      <c r="J37">
        <v>80</v>
      </c>
      <c r="L37">
        <v>300</v>
      </c>
      <c r="N37">
        <v>140</v>
      </c>
      <c r="R37">
        <v>320</v>
      </c>
      <c r="V37">
        <f>SUM(V24:V36)</f>
        <v>3830</v>
      </c>
      <c r="Y37">
        <v>800</v>
      </c>
    </row>
    <row r="38" spans="2:25" x14ac:dyDescent="0.25">
      <c r="B38">
        <v>200</v>
      </c>
      <c r="I38">
        <v>320</v>
      </c>
      <c r="J38">
        <v>140</v>
      </c>
      <c r="N38">
        <v>50</v>
      </c>
      <c r="R38">
        <v>200</v>
      </c>
      <c r="T38">
        <f>SUM(T30:T37)</f>
        <v>2890</v>
      </c>
      <c r="Y38">
        <v>600</v>
      </c>
    </row>
    <row r="39" spans="2:25" x14ac:dyDescent="0.25">
      <c r="B39">
        <v>380</v>
      </c>
      <c r="I39">
        <v>50</v>
      </c>
      <c r="J39">
        <v>50</v>
      </c>
      <c r="N39">
        <v>100</v>
      </c>
      <c r="Y39">
        <v>510</v>
      </c>
    </row>
    <row r="40" spans="2:25" x14ac:dyDescent="0.25">
      <c r="B40">
        <v>480</v>
      </c>
      <c r="I40">
        <v>150</v>
      </c>
      <c r="J40">
        <v>200</v>
      </c>
      <c r="Y40">
        <v>430</v>
      </c>
    </row>
    <row r="41" spans="2:25" x14ac:dyDescent="0.25">
      <c r="B41">
        <v>300</v>
      </c>
      <c r="G41">
        <v>2720</v>
      </c>
      <c r="Y41">
        <v>250</v>
      </c>
    </row>
    <row r="42" spans="2:25" x14ac:dyDescent="0.25">
      <c r="G42">
        <v>1100</v>
      </c>
      <c r="Y42">
        <v>490</v>
      </c>
    </row>
    <row r="43" spans="2:25" x14ac:dyDescent="0.25">
      <c r="G43">
        <v>400</v>
      </c>
      <c r="J43">
        <f>SUM(J34:J42)</f>
        <v>1640</v>
      </c>
      <c r="V43">
        <v>600</v>
      </c>
      <c r="Y43">
        <v>140</v>
      </c>
    </row>
    <row r="44" spans="2:25" x14ac:dyDescent="0.25">
      <c r="B44">
        <f>SUM(B34:B43)</f>
        <v>2720</v>
      </c>
      <c r="P44">
        <v>250</v>
      </c>
      <c r="V44">
        <v>300</v>
      </c>
      <c r="Y44">
        <v>545</v>
      </c>
    </row>
    <row r="45" spans="2:25" x14ac:dyDescent="0.25">
      <c r="K45">
        <f>2060-1700</f>
        <v>360</v>
      </c>
      <c r="M45">
        <v>340</v>
      </c>
      <c r="P45">
        <v>50</v>
      </c>
      <c r="S45">
        <f>4500-1046</f>
        <v>3454</v>
      </c>
      <c r="V45">
        <v>250</v>
      </c>
      <c r="Y45">
        <v>520</v>
      </c>
    </row>
    <row r="46" spans="2:25" x14ac:dyDescent="0.25">
      <c r="E46">
        <v>1640</v>
      </c>
      <c r="M46">
        <v>200</v>
      </c>
      <c r="P46">
        <v>120</v>
      </c>
      <c r="V46">
        <v>70</v>
      </c>
    </row>
    <row r="47" spans="2:25" x14ac:dyDescent="0.25">
      <c r="E47">
        <v>1150</v>
      </c>
      <c r="M47">
        <v>560</v>
      </c>
      <c r="P47">
        <v>50</v>
      </c>
      <c r="V47">
        <v>120</v>
      </c>
      <c r="Y47">
        <f>SUM(Y4:Y46)</f>
        <v>21534</v>
      </c>
    </row>
    <row r="48" spans="2:25" x14ac:dyDescent="0.25">
      <c r="E48">
        <v>400</v>
      </c>
      <c r="M48">
        <v>650</v>
      </c>
    </row>
    <row r="49" spans="8:25" x14ac:dyDescent="0.25">
      <c r="J49">
        <v>3445</v>
      </c>
      <c r="M49">
        <v>350</v>
      </c>
    </row>
    <row r="50" spans="8:25" x14ac:dyDescent="0.25">
      <c r="J50">
        <v>350</v>
      </c>
      <c r="M50">
        <v>200</v>
      </c>
    </row>
    <row r="51" spans="8:25" x14ac:dyDescent="0.25">
      <c r="J51">
        <v>250</v>
      </c>
      <c r="M51">
        <v>400</v>
      </c>
    </row>
    <row r="52" spans="8:25" x14ac:dyDescent="0.25">
      <c r="J52">
        <v>300</v>
      </c>
      <c r="P52">
        <v>450</v>
      </c>
      <c r="S52">
        <v>1720</v>
      </c>
      <c r="V52">
        <v>50</v>
      </c>
      <c r="Y52">
        <v>-10000</v>
      </c>
    </row>
    <row r="53" spans="8:25" x14ac:dyDescent="0.25">
      <c r="P53">
        <v>380</v>
      </c>
      <c r="S53">
        <v>290</v>
      </c>
      <c r="V53">
        <v>400</v>
      </c>
    </row>
    <row r="55" spans="8:25" x14ac:dyDescent="0.25">
      <c r="P55">
        <v>200</v>
      </c>
    </row>
    <row r="57" spans="8:25" x14ac:dyDescent="0.25">
      <c r="M57">
        <f>SUM(M45:M56)</f>
        <v>2700</v>
      </c>
    </row>
    <row r="58" spans="8:25" x14ac:dyDescent="0.25">
      <c r="H58">
        <v>1630</v>
      </c>
      <c r="Y58">
        <f>SUM(Y47:Y57)</f>
        <v>11534</v>
      </c>
    </row>
    <row r="59" spans="8:25" x14ac:dyDescent="0.25">
      <c r="H59">
        <v>245</v>
      </c>
      <c r="W59">
        <f>2022-1966</f>
        <v>56</v>
      </c>
    </row>
    <row r="63" spans="8:25" x14ac:dyDescent="0.25">
      <c r="H63" s="12">
        <f>SUM(H58:H62)</f>
        <v>1875</v>
      </c>
    </row>
  </sheetData>
  <mergeCells count="2">
    <mergeCell ref="D18:H18"/>
    <mergeCell ref="D25:H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Pricing</vt:lpstr>
      <vt:lpstr>Dubai Auto Pricing</vt:lpstr>
      <vt:lpstr>Servicing Schedule</vt:lpstr>
      <vt:lpstr>Auctus Pricing</vt:lpstr>
      <vt:lpstr>Engine Works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logiplus</dc:creator>
  <cp:lastModifiedBy>hp</cp:lastModifiedBy>
  <cp:lastPrinted>2017-08-08T10:48:00Z</cp:lastPrinted>
  <dcterms:created xsi:type="dcterms:W3CDTF">2017-08-07T12:07:15Z</dcterms:created>
  <dcterms:modified xsi:type="dcterms:W3CDTF">2026-07-02T17:14:11Z</dcterms:modified>
</cp:coreProperties>
</file>